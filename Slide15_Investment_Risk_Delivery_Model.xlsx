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ursorProjects\CheckpointSession1\"/>
    </mc:Choice>
  </mc:AlternateContent>
  <xr:revisionPtr revIDLastSave="0" documentId="8_{AC3D5910-9896-4936-8D71-C96A82B70A2B}" xr6:coauthVersionLast="47" xr6:coauthVersionMax="47" xr10:uidLastSave="{00000000-0000-0000-0000-000000000000}"/>
  <bookViews>
    <workbookView xWindow="-120" yWindow="-120" windowWidth="29040" windowHeight="15840" firstSheet="5" activeTab="10" xr2:uid="{00000000-000D-0000-FFFF-FFFF00000000}"/>
  </bookViews>
  <sheets>
    <sheet name="1 · Summary" sheetId="1" r:id="rId1"/>
    <sheet name="2 · Investment" sheetId="2" r:id="rId2"/>
    <sheet name="3 · Timeline" sheetId="3" r:id="rId3"/>
    <sheet name="4 · Requirements" sheetId="4" r:id="rId4"/>
    <sheet name="5 · Risk register" sheetId="5" r:id="rId5"/>
    <sheet name="6 · ROI" sheetId="6" r:id="rId6"/>
    <sheet name="12 · Alternatives" sheetId="7" r:id="rId7"/>
    <sheet name="Alt 1 — Own ASIC" sheetId="8" r:id="rId8"/>
    <sheet name="Alt 2 — FPGA" sheetId="9" r:id="rId9"/>
    <sheet name="Alt 3 — ConnectX NIC" sheetId="10" r:id="rId10"/>
    <sheet name="Alt 4 — BlueField-3 (chosen)" sheetId="11" r:id="rId1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1" l="1"/>
  <c r="B27" i="11" s="1"/>
  <c r="B22" i="10"/>
  <c r="B27" i="10" s="1"/>
  <c r="B31" i="9"/>
  <c r="B25" i="9"/>
  <c r="B29" i="8"/>
  <c r="B57" i="6"/>
  <c r="B59" i="6" s="1"/>
  <c r="C43" i="6"/>
  <c r="D37" i="6"/>
  <c r="C37" i="6"/>
  <c r="C31" i="6"/>
  <c r="B31" i="6"/>
  <c r="D31" i="6" s="1"/>
  <c r="E31" i="6" s="1"/>
  <c r="C30" i="6"/>
  <c r="B30" i="6"/>
  <c r="D30" i="6" s="1"/>
  <c r="E30" i="6" s="1"/>
  <c r="C29" i="6"/>
  <c r="B29" i="6"/>
  <c r="D29" i="6" s="1"/>
  <c r="C10" i="3"/>
  <c r="D48" i="2"/>
  <c r="D47" i="2"/>
  <c r="D46" i="2"/>
  <c r="D49" i="2" s="1"/>
  <c r="B8" i="2" s="1"/>
  <c r="D41" i="2"/>
  <c r="D40" i="2"/>
  <c r="D39" i="2"/>
  <c r="D38" i="2"/>
  <c r="D42" i="2" s="1"/>
  <c r="B7" i="2" s="1"/>
  <c r="D33" i="2"/>
  <c r="D32" i="2"/>
  <c r="D31" i="2"/>
  <c r="D34" i="2" s="1"/>
  <c r="B6" i="2" s="1"/>
  <c r="B27" i="2"/>
  <c r="B19" i="2"/>
  <c r="D25" i="2" s="1"/>
  <c r="B16" i="2"/>
  <c r="B11" i="1"/>
  <c r="B10" i="1"/>
  <c r="B8" i="1"/>
  <c r="B18" i="1" l="1"/>
  <c r="B19" i="1"/>
  <c r="D32" i="6"/>
  <c r="C36" i="6" s="1"/>
  <c r="C38" i="6" s="1"/>
  <c r="E29" i="6"/>
  <c r="E32" i="6" s="1"/>
  <c r="D36" i="6" s="1"/>
  <c r="D38" i="6" s="1"/>
  <c r="F20" i="2"/>
  <c r="B17" i="1"/>
  <c r="B58" i="6"/>
  <c r="B60" i="6" s="1"/>
  <c r="D26" i="2"/>
  <c r="D23" i="2"/>
  <c r="D24" i="2"/>
  <c r="B45" i="6" l="1"/>
  <c r="C42" i="6"/>
  <c r="C44" i="6" s="1"/>
  <c r="C6" i="6" s="1"/>
  <c r="B42" i="6"/>
  <c r="B44" i="6" s="1"/>
  <c r="B6" i="6" s="1"/>
  <c r="C45" i="6"/>
  <c r="D27" i="2"/>
  <c r="B5" i="2" s="1"/>
  <c r="C7" i="6" l="1"/>
  <c r="B16" i="1"/>
  <c r="C5" i="2"/>
  <c r="C16" i="1" s="1"/>
  <c r="B9" i="2"/>
  <c r="B7" i="6"/>
  <c r="B20" i="1" l="1"/>
  <c r="C9" i="2"/>
  <c r="C20" i="1" s="1"/>
  <c r="B9" i="1"/>
  <c r="B22" i="6"/>
  <c r="C6" i="2"/>
  <c r="C17" i="1" s="1"/>
  <c r="C7" i="2"/>
  <c r="C18" i="1" s="1"/>
  <c r="C8" i="2"/>
  <c r="C19" i="1" s="1"/>
  <c r="C46" i="6" l="1"/>
  <c r="C47" i="6" s="1"/>
  <c r="B46" i="6"/>
  <c r="B61" i="6" l="1"/>
  <c r="B62" i="6" s="1"/>
  <c r="B47" i="6"/>
  <c r="C48" i="6"/>
  <c r="C9" i="6" s="1"/>
  <c r="C8" i="6"/>
  <c r="B48" i="6" l="1"/>
  <c r="B9" i="6" s="1"/>
  <c r="B8" i="6"/>
</calcChain>
</file>

<file path=xl/sharedStrings.xml><?xml version="1.0" encoding="utf-8"?>
<sst xmlns="http://schemas.openxmlformats.org/spreadsheetml/2006/main" count="818" uniqueCount="582">
  <si>
    <t>Quantum Force 9000 — DPU Acceleration Card</t>
  </si>
  <si>
    <t>What it takes to deliver the solution · dynamic investment, risk &amp; delivery model (expanded from Slide 15)</t>
  </si>
  <si>
    <t>Metric</t>
  </si>
  <si>
    <t>Value</t>
  </si>
  <si>
    <t>Basis / source</t>
  </si>
  <si>
    <t>Assumption</t>
  </si>
  <si>
    <t>Objective</t>
  </si>
  <si>
    <t>TP+TLS: 10.1G → 25G+</t>
  </si>
  <si>
    <t>CP Appliance Comparison Chart 2026</t>
  </si>
  <si>
    <t>Lift Threat-Prevention throughput with TLS inspection on; PoC success gate</t>
  </si>
  <si>
    <t>Approach</t>
  </si>
  <si>
    <t>Reuse NVIDIA BlueField-3 (DOCA)</t>
  </si>
  <si>
    <t>Check Point AI Cloud Protect (AIFF) press release</t>
  </si>
  <si>
    <t>Not an own ASIC and not a self-designed FPGA — fastest, lowest-risk path</t>
  </si>
  <si>
    <t>Expected throughput multiple</t>
  </si>
  <si>
    <t>≈ 4× (10 → ~40G)</t>
  </si>
  <si>
    <t>NVIDIA BlueField-3 datasheet</t>
  </si>
  <si>
    <t>Ceiling then set by x86 policy processing</t>
  </si>
  <si>
    <t>Loaded cost / engineer</t>
  </si>
  <si>
    <t>Internal planning estimate</t>
  </si>
  <si>
    <t>Default rate; individual roles can differ (Investment · drill-down B)</t>
  </si>
  <si>
    <t>Total investment (NRE)</t>
  </si>
  <si>
    <t>Live link to the Investment total — changes with the inputs</t>
  </si>
  <si>
    <t>R&amp;D team (FTE)</t>
  </si>
  <si>
    <t>Fully-loaded; most sit on the offload boundary</t>
  </si>
  <si>
    <t>Duration to GA (months)</t>
  </si>
  <si>
    <t>Effort estimate, not a schedule commitment</t>
  </si>
  <si>
    <t>Top risk</t>
  </si>
  <si>
    <t>Offload boundary (TP gain)</t>
  </si>
  <si>
    <t>Mitigated by a TLS-focused PoC gate before full commitment</t>
  </si>
  <si>
    <t>Investment at a glance (live from the Investment sheet)</t>
  </si>
  <si>
    <t>Workstream</t>
  </si>
  <si>
    <t>Amount (USD)</t>
  </si>
  <si>
    <t>% of total</t>
  </si>
  <si>
    <t>R&amp;D · engineers × duration</t>
  </si>
  <si>
    <t>HW engineering · thermal · FIPS</t>
  </si>
  <si>
    <t>Dev kits · NVIDIA NRE</t>
  </si>
  <si>
    <t>GTM · launch</t>
  </si>
  <si>
    <t>Total</t>
  </si>
  <si>
    <t>Throughput logic — which numbers are datasheet vs. estimate</t>
  </si>
  <si>
    <t>9800 published (CP Appliance Chart 2026): 400G raw · 67.7G NGFW · 25G TP · 10.1G TP+TLS.  Only the final ~40G is an estimate — everything else is a datasheet number, and the multiples are just division.</t>
  </si>
  <si>
    <t>Step</t>
  </si>
  <si>
    <t>TP+TLS</t>
  </si>
  <si>
    <t>Datasheet / estimate</t>
  </si>
  <si>
    <t>How we get the number</t>
  </si>
  <si>
    <t>Today — on the x86</t>
  </si>
  <si>
    <t>10.1G</t>
  </si>
  <si>
    <t>Datasheet</t>
  </si>
  <si>
    <t>9800 "TP with HTTPS inspection" (published)</t>
  </si>
  <si>
    <t>The TLS tax</t>
  </si>
  <si>
    <t>25G → 10.1G</t>
  </si>
  <si>
    <t>TLS decrypt + inspect + re-encrypt on the x86 costs about 2.5x (25 / 10.1 = 2.48x)</t>
  </si>
  <si>
    <t>Offload TLS → BF-3</t>
  </si>
  <si>
    <t>~25G</t>
  </si>
  <si>
    <t>Anchored to datasheet</t>
  </si>
  <si>
    <t>Removes the TLS tax -&gt; back to the 25G plain-TP ceiling</t>
  </si>
  <si>
    <t>Offload IPS (RXP) → BF-3</t>
  </si>
  <si>
    <t>~40G</t>
  </si>
  <si>
    <t>Estimate (only soft number)</t>
  </si>
  <si>
    <t>Climbs above 25G TP toward the 67.7G NGFW number; ~40G, limited by x86 policy</t>
  </si>
  <si>
    <t>Expected multiple</t>
  </si>
  <si>
    <t>≈ 4×</t>
  </si>
  <si>
    <t>Derived</t>
  </si>
  <si>
    <t>40 / 10.1 = 3.96x ~ 4x</t>
  </si>
  <si>
    <t>PoC Go / No-Go gate</t>
  </si>
  <si>
    <t>25G+ (2.5×)</t>
  </si>
  <si>
    <t>Conservative target</t>
  </si>
  <si>
    <t>25 / 10.1 = 2.48x - just recover the TLS tax</t>
  </si>
  <si>
    <t>Bottom line: 10.1G and 25G are the 9800’s own datasheet numbers; offloading TLS just returns you to 25G. Offloading IPS is the estimated step that adds the rest to ~40G — bounded above by the 67.7G NGFW figure and limited by x86 policy. The PoC validates that single soft number.</t>
  </si>
  <si>
    <t>Check Point Software Technologies · Confidential   |   Barak Rozenfeld · Senior PM Assignment 2026   |   Slide 15   |   Cream = editable input · grey = formula (recalculates).</t>
  </si>
  <si>
    <t>Investment — dynamic cost model with drill-down</t>
  </si>
  <si>
    <t>Edit the cream cells (salary, overhead, quantities, unit costs, and the per-role engineer rates). Grey cells are formulas; totals roll up automatically. Each line shows its basis/source and assumption.</t>
  </si>
  <si>
    <t>Cost summary  ·  rolls up from the drill-down blocks below</t>
  </si>
  <si>
    <t>Category</t>
  </si>
  <si>
    <t>R&amp;D (engineers × role rate × years)</t>
  </si>
  <si>
    <t>Rolls up from the per-role build-up (drill-down B)</t>
  </si>
  <si>
    <t>Hardware engineering · thermal · FIPS</t>
  </si>
  <si>
    <t>Mechanical/thermal, PSU validation, FIPS lab</t>
  </si>
  <si>
    <t>Dev kits / NRE</t>
  </si>
  <si>
    <t>BF-3 boards, DOCA, NVIDIA NRE, lab/test</t>
  </si>
  <si>
    <t>GTM / launch</t>
  </si>
  <si>
    <t>Beta, launch, enablement, PoC support</t>
  </si>
  <si>
    <t>Hardware eng.</t>
  </si>
  <si>
    <t>Card bring-up · thermal · FIPS lab</t>
  </si>
  <si>
    <t>Mechanical/thermal design, PSU validation, FIPS 140-3 test lab</t>
  </si>
  <si>
    <t>Drill-down A · R&amp;D engineer cost build-up</t>
  </si>
  <si>
    <t>Driver</t>
  </si>
  <si>
    <t>Unit</t>
  </si>
  <si>
    <t>Base salary</t>
  </si>
  <si>
    <t>$ / year</t>
  </si>
  <si>
    <t>Blended senior-engineer base salary</t>
  </si>
  <si>
    <t>Overhead multiplier</t>
  </si>
  <si>
    <t>× of salary</t>
  </si>
  <si>
    <t>Benefits, facilities, management, G&amp;A</t>
  </si>
  <si>
    <t>Tooling &amp; licenses</t>
  </si>
  <si>
    <t>$ / eng / yr</t>
  </si>
  <si>
    <t>Dev tools, cloud, lab share per engineer</t>
  </si>
  <si>
    <t>Default loaded cost / engineer</t>
  </si>
  <si>
    <t>Default rate; each role in drill-down B defaults to this and can be tuned by seniority</t>
  </si>
  <si>
    <t>Engineers (FTE)</t>
  </si>
  <si>
    <t>FTE</t>
  </si>
  <si>
    <t>Most sit on the CoreXL↔card offload boundary</t>
  </si>
  <si>
    <t>Duration</t>
  </si>
  <si>
    <t>months</t>
  </si>
  <si>
    <t>Effort estimate to GA, not a schedule commitment</t>
  </si>
  <si>
    <t>Duration (years)  =  months ÷ 12</t>
  </si>
  <si>
    <t>years</t>
  </si>
  <si>
    <t>Forward factor used by the role table: cost = engineers × rate/yr × years</t>
  </si>
  <si>
    <t>Validation / performance</t>
  </si>
  <si>
    <t>PoC, automation, perf &amp; regression</t>
  </si>
  <si>
    <t>Measures the real gain before full commitment</t>
  </si>
  <si>
    <t>Drill-down B · R&amp;D headcount by role (engineers should sum to the FTE above)</t>
  </si>
  <si>
    <t>Role</t>
  </si>
  <si>
    <t>Engineers</t>
  </si>
  <si>
    <t>Loaded $/yr · per person</t>
  </si>
  <si>
    <t>Cost (USD)</t>
  </si>
  <si>
    <t>DOCA bring-up / Gaia driver</t>
  </si>
  <si>
    <t>Driver/kernel specialists — rate above blended</t>
  </si>
  <si>
    <t>Offload API / CoreXL (the core)</t>
  </si>
  <si>
    <t>Senior core engineers — where most of the risk sits</t>
  </si>
  <si>
    <t>Signature compiler (RXP)</t>
  </si>
  <si>
    <t>RXP / compiler specialists — blended rate</t>
  </si>
  <si>
    <t>QA / performance mix — below blended</t>
  </si>
  <si>
    <t>Subtotal R&amp;D  ·  flows to the Cost summary (R&amp;D row)</t>
  </si>
  <si>
    <t>Drill-down C · Hardware engineering</t>
  </si>
  <si>
    <t>Item</t>
  </si>
  <si>
    <t>Qty</t>
  </si>
  <si>
    <t>Unit cost</t>
  </si>
  <si>
    <t>Mechanical &amp; thermal design</t>
  </si>
  <si>
    <t>1RU airflow, chassis &amp; card mechanics</t>
  </si>
  <si>
    <t>PSU / signal-integrity validation</t>
  </si>
  <si>
    <t>Electrical headroom for ~75W added</t>
  </si>
  <si>
    <t>FIPS 140-3 lab &amp; certification</t>
  </si>
  <si>
    <t>NIST CMVP (FIPS 140-3)</t>
  </si>
  <si>
    <t>BF-3 crypto module already approved</t>
  </si>
  <si>
    <t>Subtotal</t>
  </si>
  <si>
    <t>→ feeds the Cost summary</t>
  </si>
  <si>
    <t>Drill-down D · Dev kits / NRE</t>
  </si>
  <si>
    <t>BF-3 development boards</t>
  </si>
  <si>
    <t>Dev/test units for the engineering team</t>
  </si>
  <si>
    <t>DOCA SDK / support</t>
  </si>
  <si>
    <t>SDK, licenses and developer support</t>
  </si>
  <si>
    <t>NVIDIA NRE / integration</t>
  </si>
  <si>
    <t>Non-recurring engineering with NVIDIA</t>
  </si>
  <si>
    <t>Lab / test equipment</t>
  </si>
  <si>
    <t>Traffic generators, TLS test harness</t>
  </si>
  <si>
    <t>Drill-down E · GTM / launch</t>
  </si>
  <si>
    <t>Beta / design-partner program</t>
  </si>
  <si>
    <t>Design partners before GA</t>
  </si>
  <si>
    <t>Launch &amp; collateral</t>
  </si>
  <si>
    <t>Positioning, datasheets, web</t>
  </si>
  <si>
    <t>Sales enablement &amp; PoC support</t>
  </si>
  <si>
    <t>Enablement + PoC engineering support</t>
  </si>
  <si>
    <t>How to play with it: change any cream cell (Base salary, Overhead, Engineers, a per-role $/yr rate, a Qty or a Unit cost) — the grey Cost/Amount/% cells, the subtotals and the grand Total all recalculate, and the Summary sheet follows.</t>
  </si>
  <si>
    <t>Delivery timeline — 18-month effort (with PoC gate)</t>
  </si>
  <si>
    <t>Effort allocation (person-/calendar-months), not a committed schedule; phases overlap. The Proof of Concept is an integral Go/No-Go gate.</t>
  </si>
  <si>
    <t>Phase</t>
  </si>
  <si>
    <t>Focus</t>
  </si>
  <si>
    <t>Effort (mo)</t>
  </si>
  <si>
    <t>Window</t>
  </si>
  <si>
    <t>Key deliverables</t>
  </si>
  <si>
    <t>Exit criterion / milestone</t>
  </si>
  <si>
    <t>DOCA bring-up</t>
  </si>
  <si>
    <t>Gaia driver + DOCA SDK on BF-3 (based on the AIFF gateway)</t>
  </si>
  <si>
    <t>M0 – M3</t>
  </si>
  <si>
    <t>Driver loads; zero-copy DMA path</t>
  </si>
  <si>
    <t>Traffic passes through the card</t>
  </si>
  <si>
    <t>Reuse the AIFF containerized gateway already on BF-3</t>
  </si>
  <si>
    <t>Offload API (the core)</t>
  </si>
  <si>
    <t>CoreXL ↔ card API; TLS decrypt/re-encrypt + IPS offload</t>
  </si>
  <si>
    <t>M3 – M8</t>
  </si>
  <si>
    <t>TLS offloaded to the DPU engines</t>
  </si>
  <si>
    <t>Offload path functional end-to-end</t>
  </si>
  <si>
    <t>Most of the engineers; the core technical work</t>
  </si>
  <si>
    <t>Proof of Concept · TLS gate</t>
  </si>
  <si>
    <t>Measure the real TP+TLS gain on a 9800 + BF-3 before full commitment</t>
  </si>
  <si>
    <t>M8 – M10</t>
  </si>
  <si>
    <t>Benchmarked 9800 + card under TLS inspection</t>
  </si>
  <si>
    <t>Go / No-Go gate: 25G+ TP under TLS</t>
  </si>
  <si>
    <t>De-risks the offload-boundary assumption before RXP/FIPS spend</t>
  </si>
  <si>
    <t>RXP + FIPS</t>
  </si>
  <si>
    <t>IPS DB → RXP signature compiler; FIPS 140-3 filed early</t>
  </si>
  <si>
    <t>M10 – M14</t>
  </si>
  <si>
    <t>~85% of signatures compiled; FIPS filed</t>
  </si>
  <si>
    <t>Hybrid IPS gain measured; FIPS in review</t>
  </si>
  <si>
    <t>FIPS filed ~9 mo before GA; BF-3 crypto module approved</t>
  </si>
  <si>
    <t>Beta → GA</t>
  </si>
  <si>
    <t>Design-partner beta, hardening, launch</t>
  </si>
  <si>
    <t>M14 – M18</t>
  </si>
  <si>
    <t>Beta with design partners; GTM ready</t>
  </si>
  <si>
    <t>General Availability (GA)</t>
  </si>
  <si>
    <t>Design-partner program before GA</t>
  </si>
  <si>
    <t>Total effort</t>
  </si>
  <si>
    <t>Note: effort months sum to 18; calendar windows overlap. FIPS 140-3 is submitted ≈ 9 months before GA (not after).</t>
  </si>
  <si>
    <t>Note: effort months sum to 18; calendar windows overlap. The PoC (M8–M10) is a Go/No-Go gate — the project only commits to RXP/FIPS spend after 25G+ under TLS is demonstrated. FIPS 140-3 is submitted ≈ 9 months before GA.</t>
  </si>
  <si>
    <t>Check Point Software Technologies · Confidential   |   Barak Rozenfeld · Senior PM Assignment 2026   |   Session 1 · Slide 15 — What it takes to deliver the solution   |   Edit the yellow input cells; grey cells are formulas.</t>
  </si>
  <si>
    <t>Requirements to deliver</t>
  </si>
  <si>
    <t>Hardware, software/integration and product readiness — each with a target metric, its basis/source and the assumption to validate.</t>
  </si>
  <si>
    <t>Domain</t>
  </si>
  <si>
    <t>Requirement</t>
  </si>
  <si>
    <t>Detail</t>
  </si>
  <si>
    <t>Target metric</t>
  </si>
  <si>
    <t>Assumption / to validate</t>
  </si>
  <si>
    <t>Hardware</t>
  </si>
  <si>
    <t>Form factor</t>
  </si>
  <si>
    <t>Acceleration card in one of the two network I/O slots of the 9700/9800</t>
  </si>
  <si>
    <t>1 of 2 I/O slots</t>
  </si>
  <si>
    <t>Quantum Force 9800 datasheet</t>
  </si>
  <si>
    <t>Check Point card model, not a generic PCIe x16 slot</t>
  </si>
  <si>
    <t>Power &amp; thermal</t>
  </si>
  <si>
    <t>~75W extra; verify PSU headroom and airflow in 1RU</t>
  </si>
  <si>
    <t>≤ ~75W added</t>
  </si>
  <si>
    <t>Early thermal sim; if no headroom → factory option next gen</t>
  </si>
  <si>
    <t>Data path</t>
  </si>
  <si>
    <t>Zero-copy DMA without degrading the firewall-path latency</t>
  </si>
  <si>
    <t>1.85µs FW path preserved</t>
  </si>
  <si>
    <t>DMA integration validated in PoC</t>
  </si>
  <si>
    <t>Software &amp; integration</t>
  </si>
  <si>
    <t>Gaia driver + DOCA SDK</t>
  </si>
  <si>
    <t>Based on the AIFF containerized gateway, already on BF-3</t>
  </si>
  <si>
    <t>Reuse AIFF stack</t>
  </si>
  <si>
    <t>Vendor relationship &amp; platform already in production</t>
  </si>
  <si>
    <t>Offload boundary</t>
  </si>
  <si>
    <t>The API between CoreXL and the card — most of the 12 engineers</t>
  </si>
  <si>
    <t>TP ≥ 25G under TLS</t>
  </si>
  <si>
    <t>Core technical risk; measured in the PoC</t>
  </si>
  <si>
    <t>Signature compiler</t>
  </si>
  <si>
    <t>Converting the IPS DB → RXP; metric is % of signatures that compile</t>
  </si>
  <si>
    <t>~85% signatures compile</t>
  </si>
  <si>
    <t>Partial IPS acceptable — TLS offload delivers most of the gain</t>
  </si>
  <si>
    <t>Product readiness</t>
  </si>
  <si>
    <t>Certification</t>
  </si>
  <si>
    <t>Maintain FIPS 140-3; assess the card’s impact on CC certification</t>
  </si>
  <si>
    <t>FIPS filed ~9 mo pre-GA</t>
  </si>
  <si>
    <t>BF-3 already has an approved crypto module; submit early</t>
  </si>
  <si>
    <t>Customer experience</t>
  </si>
  <si>
    <t>No change to SmartConsole or to the existing security policy</t>
  </si>
  <si>
    <t>Zero policy change</t>
  </si>
  <si>
    <t>Transparent to existing deployments</t>
  </si>
  <si>
    <t>Launch</t>
  </si>
  <si>
    <t>Beta with design partners before GA</t>
  </si>
  <si>
    <t>Design-partner program defined</t>
  </si>
  <si>
    <t>Risk register</t>
  </si>
  <si>
    <t>Severity × Likelihood (High=3, Medium=2, Low=1; Score = S×L). Each risk carries its basis/source, mitigation and a measurable target.</t>
  </si>
  <si>
    <t>#</t>
  </si>
  <si>
    <t>Risk</t>
  </si>
  <si>
    <t>Description</t>
  </si>
  <si>
    <t>Severity</t>
  </si>
  <si>
    <t>Likelihood</t>
  </si>
  <si>
    <t>Score</t>
  </si>
  <si>
    <t>Mitigation</t>
  </si>
  <si>
    <t>Measurable target (KPI)</t>
  </si>
  <si>
    <t>Owner</t>
  </si>
  <si>
    <t>Threat-Prevention throughput does not rise as expected once offloaded</t>
  </si>
  <si>
    <t>High</t>
  </si>
  <si>
    <t>Medium</t>
  </si>
  <si>
    <t>A TLS-focused PoC gate that measures the real gain before full commitment</t>
  </si>
  <si>
    <t>25G+ under TLS</t>
  </si>
  <si>
    <t>R&amp;D</t>
  </si>
  <si>
    <t>Signature coverage on RXP</t>
  </si>
  <si>
    <t>Only part of the IPS signatures compile to RXP → partial IPS gain</t>
  </si>
  <si>
    <t>Not dependent on IPS: TLS offload alone delivers most of the gain (hybrid)</t>
  </si>
  <si>
    <t>~85% signatures</t>
  </si>
  <si>
    <t>Power / thermal in 1RU</t>
  </si>
  <si>
    <t>No electrical / airflow headroom for the card in the 1RU box</t>
  </si>
  <si>
    <t>Low</t>
  </si>
  <si>
    <t>Early thermal simulation; if no headroom → factory option next generation</t>
  </si>
  <si>
    <t>~75W added</t>
  </si>
  <si>
    <t>HW engineering</t>
  </si>
  <si>
    <t>Dependence on NVIDIA</t>
  </si>
  <si>
    <t>Single vendor in the data path</t>
  </si>
  <si>
    <t>Multi-year AIFF agreement + abstraction layer to switch vendors in gen 2</t>
  </si>
  <si>
    <t>2 vendor options</t>
  </si>
  <si>
    <t>Product / Procurement</t>
  </si>
  <si>
    <t>FIPS / CC re-certification</t>
  </si>
  <si>
    <t>Re-certification risk for regulated customers</t>
  </si>
  <si>
    <t>Early FIPS submission (not after GA); BF-3 already has an approved crypto module</t>
  </si>
  <si>
    <t>~9 mo before GA</t>
  </si>
  <si>
    <t>Compliance</t>
  </si>
  <si>
    <t>Legend — Severity/Likelihood: High (3) · Medium (2) · Low (1). Score 6 = red, 3–4 = amber, 1–2 = green. Risk severity ranking is a qualitative assessment.</t>
  </si>
  <si>
    <t>ROI — 3-year business case (expanded from Slide 16)</t>
  </si>
  <si>
    <t>Why the numbers, how they are built, and the sales assumptions (incl. 29100/29200 cannibalization). Cream = editable input · grey = formula. The one-time investment links live to the Investment sheet.</t>
  </si>
  <si>
    <t>Headline — 3-year outcome (base vs. base + deal upside)</t>
  </si>
  <si>
    <t>Base</t>
  </si>
  <si>
    <t>Base + upside</t>
  </si>
  <si>
    <t>3-year revenue</t>
  </si>
  <si>
    <t>Build-ups A &amp; B + upside deals</t>
  </si>
  <si>
    <t>Module revenue, plus DC/HQ deal revenue in the upside</t>
  </si>
  <si>
    <t>Gross profit</t>
  </si>
  <si>
    <t>Margins applied per line</t>
  </si>
  <si>
    <t>65% on modules, 60% on DC/HQ deals</t>
  </si>
  <si>
    <t>Net contribution (3 yr)</t>
  </si>
  <si>
    <t>Gross profit − cannibalization − investment</t>
  </si>
  <si>
    <t>One-time investment is a planning estimate</t>
  </si>
  <si>
    <t>ROI (3 yr)</t>
  </si>
  <si>
    <t>Net ÷ investment</t>
  </si>
  <si>
    <t>Net ÷ investment, net of cannibalization; deck shows ~189% / ~408% (sheet exact)</t>
  </si>
  <si>
    <t>Break-even (months from GA)</t>
  </si>
  <si>
    <t>—</t>
  </si>
  <si>
    <t>Modules only</t>
  </si>
  <si>
    <t>Demand concentrated in year 1</t>
  </si>
  <si>
    <t>Key inputs — editable (cream); each with its basis and assumption</t>
  </si>
  <si>
    <t>Module price (ASP uplift)</t>
  </si>
  <si>
    <t>$ / module</t>
  </si>
  <si>
    <t>IDC + Check Point IR, planning</t>
  </si>
  <si>
    <t>List before channel discount; the uplift added to a deal</t>
  </si>
  <si>
    <t>Annual 9700/9800 shipments</t>
  </si>
  <si>
    <t>units / yr</t>
  </si>
  <si>
    <t>IDC Security Appliance Tracker</t>
  </si>
  <si>
    <t>New-unit base the module attaches to</t>
  </si>
  <si>
    <t>Attach rate — year 1</t>
  </si>
  <si>
    <t>%</t>
  </si>
  <si>
    <t>Planning</t>
  </si>
  <si>
    <t>Ramp start, first year after GA</t>
  </si>
  <si>
    <t>Attach rate — year 2</t>
  </si>
  <si>
    <t>Mid ramp</t>
  </si>
  <si>
    <t>Attach rate — year 3</t>
  </si>
  <si>
    <t>Mature attach rate</t>
  </si>
  <si>
    <t>Installed-base upgrades (3 yr)</t>
  </si>
  <si>
    <t>modules</t>
  </si>
  <si>
    <t>Share of the installed base upgrading; demand concentrated in year 1</t>
  </si>
  <si>
    <t>Gross margin — module</t>
  </si>
  <si>
    <t>Check Point product standard</t>
  </si>
  <si>
    <t>Blended software + hardware module margin</t>
  </si>
  <si>
    <t>Gross margin — DC/HQ deal</t>
  </si>
  <si>
    <t>Check Point deal standard</t>
  </si>
  <si>
    <t>Hardware-heavy deal margin</t>
  </si>
  <si>
    <t>One-time investment</t>
  </si>
  <si>
    <t>$</t>
  </si>
  <si>
    <t>Live link → '2 · Investment'!B9</t>
  </si>
  <si>
    <t>Planning estimate: R&amp;D, HW+FIPS, dev kits, GTM</t>
  </si>
  <si>
    <t>Horizon</t>
  </si>
  <si>
    <t>Standard business case</t>
  </si>
  <si>
    <t>3-year planning horizon</t>
  </si>
  <si>
    <t>DC/HQ deals won / yr (upside)</t>
  </si>
  <si>
    <t>deals / yr</t>
  </si>
  <si>
    <t>Planning (+10 pts win-rate)</t>
  </si>
  <si>
    <t>Incremental wins from the 4× TP+TLS advantage</t>
  </si>
  <si>
    <t>DC/HQ deal value (upside)</t>
  </si>
  <si>
    <t>$ / deal</t>
  </si>
  <si>
    <t>Average DC/HQ deal ASP</t>
  </si>
  <si>
    <t>Build-up A — attach on new units (how 1,800 modules &amp; $27.0M arise)</t>
  </si>
  <si>
    <t>Year</t>
  </si>
  <si>
    <t>New units</t>
  </si>
  <si>
    <t>Attach %</t>
  </si>
  <si>
    <t>Modules</t>
  </si>
  <si>
    <t>Revenue</t>
  </si>
  <si>
    <t>Year 1</t>
  </si>
  <si>
    <t>Ramp start</t>
  </si>
  <si>
    <t>Year 2</t>
  </si>
  <si>
    <t>Year 3</t>
  </si>
  <si>
    <t>Mature attach</t>
  </si>
  <si>
    <t>1,800 modules over 3 years as attach grows 30% → 50%</t>
  </si>
  <si>
    <t>Build-up B — base module revenue (3 years)</t>
  </si>
  <si>
    <t>Component</t>
  </si>
  <si>
    <t>Attach on new units</t>
  </si>
  <si>
    <t>Build-up A</t>
  </si>
  <si>
    <t>New-unit attach, years 1–3</t>
  </si>
  <si>
    <t>Installed-base upgrades</t>
  </si>
  <si>
    <t>925 upgrades × $15K; demand concentrated in year 1</t>
  </si>
  <si>
    <t>Total module revenue</t>
  </si>
  <si>
    <t>Flows into the ROI waterfall as base revenue</t>
  </si>
  <si>
    <t>ROI waterfall — base vs. base + deal upside</t>
  </si>
  <si>
    <t>Line</t>
  </si>
  <si>
    <t>Module revenue (3 yr)</t>
  </si>
  <si>
    <t>Build-up B</t>
  </si>
  <si>
    <t>Same in both scenarios</t>
  </si>
  <si>
    <t>DC/HQ deal revenue (upside)</t>
  </si>
  <si>
    <t>Upside only</t>
  </si>
  <si>
    <t>75 deals (25/yr × 3) × $350K</t>
  </si>
  <si>
    <t>Total revenue</t>
  </si>
  <si>
    <t>Module + upside deals</t>
  </si>
  <si>
    <t>Margins per line</t>
  </si>
  <si>
    <t>65% module · 60% deal</t>
  </si>
  <si>
    <t>Investment sheet</t>
  </si>
  <si>
    <t>Planning estimate</t>
  </si>
  <si>
    <t>Gross profit − investment</t>
  </si>
  <si>
    <t>Net of cannibalization; deck shows ~189% base / ~408% upside</t>
  </si>
  <si>
    <t>Cash contribution covers the investment by ~month 16</t>
  </si>
  <si>
    <t>Sales adjustment — 29100/29200 cannibalization (now netted into the headline ROI)</t>
  </si>
  <si>
    <t>Why a decline in 29100/29200 sales: the module lets a stuck 9700/9800 customer gain TP+TLS without the 2RU/4RU forklift to a 29100/29200, so a share of would-be 29100/29200 buyers upgrade the existing box instead. This net impact is now BAKED INTO the headline Net contribution and ROI above (to match the deck); the pre-cannibalization figures are kept below as a memo. Most stuck customers avoid the forklift, so the displaced share is modest. All figures are planning assumptions to validate against CRM / pricing data.</t>
  </si>
  <si>
    <t>Cannibalization rate</t>
  </si>
  <si>
    <t>% of upgrades</t>
  </si>
  <si>
    <t>Share of the 925 upgrades that would otherwise have bought a 29100/29200</t>
  </si>
  <si>
    <t>29100/29200 ASP</t>
  </si>
  <si>
    <t>$ / unit</t>
  </si>
  <si>
    <t>Planning estimate (validate w/ pricing)</t>
  </si>
  <si>
    <t>Enterprise appliance; varies by bundle/region/discount — placeholder to edit</t>
  </si>
  <si>
    <t>29100/29200 gross margin</t>
  </si>
  <si>
    <t>Check Point hardware deal standard</t>
  </si>
  <si>
    <t>Displaced 29100/29200 units</t>
  </si>
  <si>
    <t>units</t>
  </si>
  <si>
    <t>Upgrades that displace a box sale</t>
  </si>
  <si>
    <t>Forgone box gross profit</t>
  </si>
  <si>
    <t>Box GP we would have earned on those units</t>
  </si>
  <si>
    <t>Module GP already counted</t>
  </si>
  <si>
    <t>Module GP from the same customers (already in the base)</t>
  </si>
  <si>
    <t>Net cannibalization impact</t>
  </si>
  <si>
    <t>Negative = net GP forgone vs. the box counterfactual</t>
  </si>
  <si>
    <t>Memo · net contribution before cannibalization (gross)</t>
  </si>
  <si>
    <t>Reference: the pre-haircut figure the deck used to show</t>
  </si>
  <si>
    <t>Memo · ROI before cannibalization (gross)</t>
  </si>
  <si>
    <t>Adjusted net ÷ investment</t>
  </si>
  <si>
    <t>Reference only; the headline ROI above is net of cannibalization</t>
  </si>
  <si>
    <t>Check Point Software Technologies · Confidential   |   Barak Rozenfeld · Senior PM Assignment 2026   |   Slide 16   |   Cream = editable input · grey = formula (recalculates).</t>
  </si>
  <si>
    <t>Slide 12 — Four alternatives for accelerating TP under TLS</t>
  </si>
  <si>
    <t>Each alternative has its own sheet with a bottom-up breakdown of how the time and cost were derived. Criterion: throughput per RU without sacrificing flexibility.</t>
  </si>
  <si>
    <t>Alternative</t>
  </si>
  <si>
    <t>What we develop</t>
  </si>
  <si>
    <t>Dev time</t>
  </si>
  <si>
    <t>Dev cost (NRE)</t>
  </si>
  <si>
    <t>Throughput (today 10)  &amp;  verdict</t>
  </si>
  <si>
    <t>1</t>
  </si>
  <si>
    <t>Build our own ASIC</t>
  </si>
  <si>
    <t>Our own dedicated chip</t>
  </si>
  <si>
    <t>3–5 years</t>
  </si>
  <si>
    <t>$300M+</t>
  </si>
  <si>
    <t>~40+ · Rejected — cost &amp; time prohibitive, inflexible</t>
  </si>
  <si>
    <t>2</t>
  </si>
  <si>
    <t>Self-designed FPGA</t>
  </si>
  <si>
    <t>FPGA designed by Check Point</t>
  </si>
  <si>
    <t>~3 years</t>
  </si>
  <si>
    <t>$30–50M</t>
  </si>
  <si>
    <t>~30–40 · Rejected — costly, HDL per engine</t>
  </si>
  <si>
    <t>3</t>
  </si>
  <si>
    <t>Use a ConnectX-7 SmartNIC</t>
  </si>
  <si>
    <t>Off-the-shelf NVIDIA ConnectX-7</t>
  </si>
  <si>
    <t>~12 months</t>
  </si>
  <si>
    <t>~$3M</t>
  </si>
  <si>
    <t>10→~20 (×2) · Rejected — crypto only, no Arm cores</t>
  </si>
  <si>
    <t>✓</t>
  </si>
  <si>
    <t>Use a BlueField-3 card (CHOSEN)</t>
  </si>
  <si>
    <t>Existing NVIDIA BlueField-3 card</t>
  </si>
  <si>
    <t>~18 months</t>
  </si>
  <si>
    <t>~$7M</t>
  </si>
  <si>
    <t>10→~40 (×4) · CHOSEN — best TP/RU + software-updatable</t>
  </si>
  <si>
    <t>Basis: ASIC/FPGA are industry precedent (IBS/McKinsey); ConnectX &amp; BlueField-3 are our bottom-up estimate. Throughput for ASIC/FPGA is a qualitative comparison.</t>
  </si>
  <si>
    <t>Alternative 1 — Build our own ASIC</t>
  </si>
  <si>
    <t>A Check Point-designed dedicated chip. Rejected: cost and time are prohibitive and the logic is burned into silicon — a new engine means a whole new hardware generation.</t>
  </si>
  <si>
    <t>Headline</t>
  </si>
  <si>
    <t>Basis</t>
  </si>
  <si>
    <t>Development time</t>
  </si>
  <si>
    <t>Tape-out (~2 yr) + bring-up + software; industry precedent</t>
  </si>
  <si>
    <t>Development cost (NRE)</t>
  </si>
  <si>
    <t>7nm full design cost (IBS / McKinsey chip-design cost by node)</t>
  </si>
  <si>
    <t>Throughput (TP+TLS/RU)</t>
  </si>
  <si>
    <t>~40+</t>
  </si>
  <si>
    <t>Reaches the target; x86 policy stage then the limit (qualitative)</t>
  </si>
  <si>
    <t>Verdict</t>
  </si>
  <si>
    <t>Rejected</t>
  </si>
  <si>
    <t>Highest cost, longest time, zero flexibility for new engines / AI-ML</t>
  </si>
  <si>
    <t>How the development TIME was derived</t>
  </si>
  <si>
    <t>Why this long</t>
  </si>
  <si>
    <t>Architecture + RTL design</t>
  </si>
  <si>
    <t>Specify the crypto + inspection pipelines and write the RTL</t>
  </si>
  <si>
    <t>Verification &amp; validation</t>
  </si>
  <si>
    <t>Exhaustive sim/formal; a silicon bug after tape-out is catastrophic</t>
  </si>
  <si>
    <t>Physical design + 7nm tape-out</t>
  </si>
  <si>
    <t>~6–12 months</t>
  </si>
  <si>
    <t>Place-and-route, mask set, fab; ~2 yr cumulative to first silicon</t>
  </si>
  <si>
    <t>Fab + first silicon + bring-up</t>
  </si>
  <si>
    <t>~6 months</t>
  </si>
  <si>
    <t>Wafer run, packaging, lab bring-up</t>
  </si>
  <si>
    <t>Respin (typical) + re-validation</t>
  </si>
  <si>
    <t>First silicon rarely ships; budget at least one respin</t>
  </si>
  <si>
    <t>Firmware + Gaia/platform integration</t>
  </si>
  <si>
    <t>Drivers and software stack, overlaps bring-up</t>
  </si>
  <si>
    <t>Calendar total (with overlap)</t>
  </si>
  <si>
    <t>Industry precedent for a new security ASIC</t>
  </si>
  <si>
    <t>How the development COST (NRE) was derived</t>
  </si>
  <si>
    <t>Amount</t>
  </si>
  <si>
    <t>Note / assumption</t>
  </si>
  <si>
    <t>IP licensing + architecture + RTL</t>
  </si>
  <si>
    <t>Licensed crypto/networking IP + design team</t>
  </si>
  <si>
    <t>Largest single line in modern SoC design</t>
  </si>
  <si>
    <t>Physical design + 7nm mask set</t>
  </si>
  <si>
    <t>Masks alone ~$15–25M at 7nm, plus place-and-route</t>
  </si>
  <si>
    <t>Prototyping, bring-up, 1 respin</t>
  </si>
  <si>
    <t>Each respin ~$5–15M in masks + lost time</t>
  </si>
  <si>
    <t>Firmware + software + drivers</t>
  </si>
  <si>
    <t>Full stack to run on the new silicon</t>
  </si>
  <si>
    <t>Qualification, FIPS/EAL, PM, overhead</t>
  </si>
  <si>
    <t>Certification + multi-year program overhead</t>
  </si>
  <si>
    <t>Total NRE  (≈ IBS/McKinsey 7nm)</t>
  </si>
  <si>
    <t>Sums to ~$300M; '+': extra respins push well beyond</t>
  </si>
  <si>
    <t>Alternative 2 — Self-designed FPGA</t>
  </si>
  <si>
    <t>An FPGA designed by Check Point. Rejected: still costly, every new engine needs fresh HDL work, and performance trails a custom ASIC. The $30–50M range below is built bottom-up to a ~$40M midpoint.</t>
  </si>
  <si>
    <t>HDL + timing closure; no tape-out, so shorter than an ASIC</t>
  </si>
  <si>
    <t>Bottom-up ~$40M; range driven by team size &amp; board respins</t>
  </si>
  <si>
    <t>~30–40</t>
  </si>
  <si>
    <t>Frequency / logic-density gap versus a custom ASIC (qualitative)</t>
  </si>
  <si>
    <t>Costly, HDL effort per new engine, slower than an ASIC</t>
  </si>
  <si>
    <t>Architecture + HDL design</t>
  </si>
  <si>
    <t>~12–15 months</t>
  </si>
  <si>
    <t>RTL for the crypto + inspection pipelines</t>
  </si>
  <si>
    <t>Verification + timing closure</t>
  </si>
  <si>
    <t>~9–12 months</t>
  </si>
  <si>
    <t>Timing closure on advanced FPGAs is the long pole</t>
  </si>
  <si>
    <t>Board/card design + bring-up</t>
  </si>
  <si>
    <t>~6–9 months</t>
  </si>
  <si>
    <t>Overlaps HDL; custom card around the FPGA</t>
  </si>
  <si>
    <t>Firmware/driver + integration</t>
  </si>
  <si>
    <t>Into Gaia / the 9000 platform</t>
  </si>
  <si>
    <t>Qualification / certification</t>
  </si>
  <si>
    <t>FIPS / EAL on the new card</t>
  </si>
  <si>
    <t>No tape-out, so ~1–2 yr shorter than an ASIC</t>
  </si>
  <si>
    <t>FTE — HDL/verif/firmware/board team</t>
  </si>
  <si>
    <t>Specialist HDL engineers are scarce &amp; expensive</t>
  </si>
  <si>
    <t>Years</t>
  </si>
  <si>
    <t>Matches the ~3-year timeline above</t>
  </si>
  <si>
    <t>Loaded cost per FTE-year</t>
  </si>
  <si>
    <t>Fully loaded (salary + overhead + tools share)</t>
  </si>
  <si>
    <t>Engineering team</t>
  </si>
  <si>
    <t>EDA + FPGA tool licenses (3 yr)</t>
  </si>
  <si>
    <t>Synopsys/Cadence/FPGA vendor toolchains</t>
  </si>
  <si>
    <t>Board design + 3 respins + prototypes</t>
  </si>
  <si>
    <t>Main swing factor for the $30–50M range</t>
  </si>
  <si>
    <t>Premium FPGA silicon (dev + qual lots)</t>
  </si>
  <si>
    <t>High-end Versal/Agilex-class parts</t>
  </si>
  <si>
    <t>Qualification &amp; certification (FIPS/EAL)</t>
  </si>
  <si>
    <t>Regulated-market certification</t>
  </si>
  <si>
    <t>Program mgmt + contingency</t>
  </si>
  <si>
    <t>PM, risk buffer</t>
  </si>
  <si>
    <t>Total NRE  (midpoint of $30–50M)</t>
  </si>
  <si>
    <t>≈$40M; 20 FTE &amp; fewer respins → ~$30M, 30 FTE &amp; more → ~$50M</t>
  </si>
  <si>
    <t>Alternative 3 — Use a ConnectX-7 SmartNIC</t>
  </si>
  <si>
    <t>An off-the-shelf NVIDIA ConnectX-7 NIC. Rejected: fixed-function offload (inline TLS/IPsec crypto only) with no programmable Arm cores, so it cannot run IPS or an AI/ML engine on-card.</t>
  </si>
  <si>
    <t>Driver + crypto-offload integration on an off-the-shelf NIC</t>
  </si>
  <si>
    <t>Bottom-up; cheapest option but limited capability</t>
  </si>
  <si>
    <t>10 → ~20 (×2)</t>
  </si>
  <si>
    <t>TLS crypto offload only; IPS still runs on the x86</t>
  </si>
  <si>
    <t>Relieves only TLS crypto; the x86 stays the inspection bottleneck</t>
  </si>
  <si>
    <t>Driver bring-up in Gaia</t>
  </si>
  <si>
    <t>Standard NIC driver model; no on-card OS to build</t>
  </si>
  <si>
    <t>TLS/IPsec crypto-offload integration</t>
  </si>
  <si>
    <t>Wire inline crypto offload into the data path (overlaps driver)</t>
  </si>
  <si>
    <t>Off-the-shelf NIC, no DPU software stack to build</t>
  </si>
  <si>
    <t>FTE — integration team</t>
  </si>
  <si>
    <t>Small team; no on-card software platform</t>
  </si>
  <si>
    <t>Matches the ~12-month timeline</t>
  </si>
  <si>
    <t>Fully loaded</t>
  </si>
  <si>
    <t>ConnectX-7 dev cards + lab setup</t>
  </si>
  <si>
    <t>Off-the-shelf hardware</t>
  </si>
  <si>
    <t>Test tooling</t>
  </si>
  <si>
    <t>Traffic generators, test rigs</t>
  </si>
  <si>
    <t>Qualification (no new silicon)</t>
  </si>
  <si>
    <t>Lighter — reusing a shipping NIC</t>
  </si>
  <si>
    <t>Contingency</t>
  </si>
  <si>
    <t>Risk buffer</t>
  </si>
  <si>
    <t>Total NRE</t>
  </si>
  <si>
    <t>Sums to ~$3M</t>
  </si>
  <si>
    <t>Alternative 4 — Use a BlueField-3 acceleration card  ✓ CHOSEN</t>
  </si>
  <si>
    <t>An existing NVIDIA BlueField-3 card in a Check Point-format slot. Chosen: best throughput per RU without sacrificing flexibility — a new engine (incl. AI/ML) ships as a software update, and BF-3 is already proven in Check Point AI Cloud Protect (AIFF). Cream = editable input · grey = formula.</t>
  </si>
  <si>
    <t>~12 mo integration + ~6 mo PoC on an existing BF-3</t>
  </si>
  <si>
    <t>Bottom-up: team + dev kits + tooling + cert + contingency</t>
  </si>
  <si>
    <t>10 → ~40 (×4)</t>
  </si>
  <si>
    <t>Offloads TLS crypto + IPS; PoC gate is a conservative 25G+ (×2.5)</t>
  </si>
  <si>
    <t>CHOSEN</t>
  </si>
  <si>
    <t>Best TP/RU, software-updatable, vendor + platform already proven</t>
  </si>
  <si>
    <t>Integration</t>
  </si>
  <si>
    <t>12 months</t>
  </si>
  <si>
    <t>Card in the I/O slot, drivers, TLS+IPS offload pipeline in Gaia</t>
  </si>
  <si>
    <t>PoC</t>
  </si>
  <si>
    <t>6 months</t>
  </si>
  <si>
    <t>Validate 25G+ gate, power / thermal / mechanical fit in the card format</t>
  </si>
  <si>
    <t>Calendar total</t>
  </si>
  <si>
    <t>18 months</t>
  </si>
  <si>
    <t>Not from scratch — the 9000 already runs acceleration cards; BF-3 is in AIFF</t>
  </si>
  <si>
    <t>Core R&amp;D team for integration + PoC</t>
  </si>
  <si>
    <t>Duration (months)</t>
  </si>
  <si>
    <t>Integration + PoC window</t>
  </si>
  <si>
    <t>Loaded cost per engineer-month</t>
  </si>
  <si>
    <t>≈ $250K / engineer-year, fully loaded</t>
  </si>
  <si>
    <t>R&amp;D team</t>
  </si>
  <si>
    <t>BlueField-3 dev kits</t>
  </si>
  <si>
    <t>NVIDIA BF-3 development hardware</t>
  </si>
  <si>
    <t>Lab + test tooling</t>
  </si>
  <si>
    <t>Traffic generators, test rigs, bench</t>
  </si>
  <si>
    <t>FIPS / certification pre-work</t>
  </si>
  <si>
    <t>Early cert groundwork during the PoC</t>
  </si>
  <si>
    <t>Risk buffer for the PoC phase</t>
  </si>
  <si>
    <t>Sums to ~$7.0M. The full program on '2 · Investment' is $7.2M (adds HW/FIPS + GTM beyond this R&amp;D+PoC core)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</si>
</sst>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"/>
    <numFmt numFmtId="166" formatCode="0.0%"/>
    <numFmt numFmtId="167" formatCode="\$#,##0"/>
  </numFmts>
  <fonts count="23" x14ac:knownFonts="1">
    <font>
      <sz val="11"/>
      <color theme="1"/>
      <name val="Arial"/>
      <family val="2"/>
      <scheme val="minor"/>
    </font>
    <font>
      <b/>
      <sz val="15"/>
      <color rgb="FFFFFFFF"/>
      <name val="Calibri"/>
    </font>
    <font>
      <i/>
      <sz val="9"/>
      <color rgb="FF6B7280"/>
      <name val="Calibri"/>
    </font>
    <font>
      <b/>
      <sz val="10"/>
      <color rgb="FFFFFFFF"/>
      <name val="Calibri"/>
    </font>
    <font>
      <b/>
      <sz val="10"/>
      <color rgb="FF23272F"/>
      <name val="Calibri"/>
    </font>
    <font>
      <sz val="10"/>
      <color rgb="FF23272F"/>
      <name val="Calibri"/>
    </font>
    <font>
      <u/>
      <sz val="9"/>
      <color rgb="FF2563C9"/>
      <name val="Calibri"/>
    </font>
    <font>
      <b/>
      <sz val="11"/>
      <color rgb="FFE40C5B"/>
      <name val="Calibri"/>
    </font>
    <font>
      <b/>
      <sz val="11"/>
      <color rgb="FF23272F"/>
      <name val="Calibri"/>
    </font>
    <font>
      <b/>
      <sz val="11"/>
      <color rgb="FFFFFFFF"/>
      <name val="Calibri"/>
    </font>
    <font>
      <b/>
      <sz val="10"/>
      <color rgb="FFE40C5B"/>
      <name val="Calibri"/>
    </font>
    <font>
      <sz val="9"/>
      <color rgb="FF23272F"/>
      <name val="Calibri"/>
    </font>
    <font>
      <b/>
      <sz val="9"/>
      <color rgb="FFE40C5B"/>
      <name val="Calibri"/>
    </font>
    <font>
      <i/>
      <sz val="8"/>
      <color rgb="FF6B7280"/>
      <name val="Calibri"/>
    </font>
    <font>
      <sz val="9"/>
      <color rgb="FF6B7280"/>
      <name val="Calibri"/>
    </font>
    <font>
      <b/>
      <sz val="13"/>
      <name val="Arial"/>
    </font>
    <font>
      <i/>
      <sz val="9"/>
      <color rgb="FF7F7F7F"/>
      <name val="Arial"/>
    </font>
    <font>
      <b/>
      <sz val="9"/>
      <color rgb="FF595959"/>
      <name val="Arial"/>
    </font>
    <font>
      <b/>
      <sz val="10"/>
      <name val="Arial"/>
    </font>
    <font>
      <sz val="10"/>
      <name val="Arial"/>
    </font>
    <font>
      <sz val="9"/>
      <color rgb="FF595959"/>
      <name val="Arial"/>
    </font>
    <font>
      <b/>
      <sz val="10"/>
      <color rgb="FFFFFFFF"/>
      <name val="Arial"/>
    </font>
    <font>
      <b/>
      <sz val="11"/>
      <name val="Arial"/>
    </font>
  </fonts>
  <fills count="17">
    <fill>
      <patternFill patternType="none"/>
    </fill>
    <fill>
      <patternFill patternType="gray125"/>
    </fill>
    <fill>
      <patternFill patternType="solid">
        <fgColor rgb="FF2F3540"/>
      </patternFill>
    </fill>
    <fill>
      <patternFill patternType="solid">
        <fgColor rgb="FF474E5A"/>
      </patternFill>
    </fill>
    <fill>
      <patternFill patternType="solid">
        <fgColor rgb="FFFFFFFF"/>
      </patternFill>
    </fill>
    <fill>
      <patternFill patternType="solid">
        <fgColor rgb="FFEFF1F4"/>
      </patternFill>
    </fill>
    <fill>
      <patternFill patternType="solid">
        <fgColor rgb="FFF5F6F8"/>
      </patternFill>
    </fill>
    <fill>
      <patternFill patternType="solid">
        <fgColor rgb="FFFFF4D8"/>
      </patternFill>
    </fill>
    <fill>
      <patternFill patternType="solid">
        <fgColor rgb="FFF4D4DD"/>
      </patternFill>
    </fill>
    <fill>
      <patternFill patternType="solid">
        <fgColor rgb="FFF7E6CB"/>
      </patternFill>
    </fill>
    <fill>
      <patternFill patternType="solid">
        <fgColor rgb="FFDCEDE2"/>
      </patternFill>
    </fill>
    <fill>
      <patternFill patternType="solid">
        <fgColor rgb="FFEDE7F0"/>
      </patternFill>
    </fill>
    <fill>
      <patternFill patternType="solid">
        <fgColor rgb="FFFBEAEA"/>
      </patternFill>
    </fill>
    <fill>
      <patternFill patternType="solid">
        <fgColor rgb="FFE7F3EC"/>
      </patternFill>
    </fill>
    <fill>
      <patternFill patternType="solid">
        <fgColor rgb="FF43354B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E40C5B"/>
      </bottom>
      <diagonal/>
    </border>
    <border>
      <left style="thin">
        <color rgb="FFE2E4E8"/>
      </left>
      <right style="thin">
        <color rgb="FFE2E4E8"/>
      </right>
      <top style="thin">
        <color rgb="FFE2E4E8"/>
      </top>
      <bottom style="thin">
        <color rgb="FFE2E4E8"/>
      </bottom>
      <diagonal/>
    </border>
    <border>
      <left/>
      <right/>
      <top/>
      <bottom style="thin">
        <color rgb="FFE40C5B"/>
      </bottom>
      <diagonal/>
    </border>
    <border>
      <left style="thin">
        <color rgb="FFE4C46A"/>
      </left>
      <right style="thin">
        <color rgb="FFE4C46A"/>
      </right>
      <top style="thin">
        <color rgb="FFE4C46A"/>
      </top>
      <bottom style="thin">
        <color rgb="FFE4C46A"/>
      </bottom>
      <diagonal/>
    </border>
    <border>
      <left style="thin">
        <color rgb="FFDCD5DA"/>
      </left>
      <right style="thin">
        <color rgb="FFDCD5DA"/>
      </right>
      <top/>
      <bottom/>
      <diagonal/>
    </border>
    <border>
      <left style="thin">
        <color rgb="FFDCD5DA"/>
      </left>
      <right style="thin">
        <color rgb="FFDCD5DA"/>
      </right>
      <top/>
      <bottom style="thin">
        <color rgb="FFDCD5DA"/>
      </bottom>
      <diagonal/>
    </border>
    <border>
      <left/>
      <right/>
      <top style="thin">
        <color rgb="FFE2E4E8"/>
      </top>
      <bottom style="thin">
        <color rgb="FFE2E4E8"/>
      </bottom>
      <diagonal/>
    </border>
    <border>
      <left/>
      <right style="thin">
        <color rgb="FFE2E4E8"/>
      </right>
      <top style="thin">
        <color rgb="FFE2E4E8"/>
      </top>
      <bottom style="thin">
        <color rgb="FFE2E4E8"/>
      </bottom>
      <diagonal/>
    </border>
    <border>
      <left style="thin">
        <color rgb="FFDCD5DA"/>
      </left>
      <right style="thin">
        <color rgb="FFDCD5DA"/>
      </right>
      <top style="thin">
        <color rgb="FFDCD5DA"/>
      </top>
      <bottom style="thin">
        <color rgb="FFDCD5DA"/>
      </bottom>
      <diagonal/>
    </border>
  </borders>
  <cellStyleXfs count="1">
    <xf numFmtId="0" fontId="0" fillId="0" borderId="0"/>
  </cellStyleXfs>
  <cellXfs count="97">
    <xf numFmtId="0" fontId="0" fillId="0" borderId="0" xfId="0"/>
    <xf numFmtId="164" fontId="3" fillId="3" borderId="2" xfId="0" applyNumberFormat="1" applyFont="1" applyFill="1" applyBorder="1" applyAlignment="1">
      <alignment horizontal="left" vertical="center" wrapText="1" indent="1"/>
    </xf>
    <xf numFmtId="0" fontId="4" fillId="4" borderId="2" xfId="0" applyFont="1" applyFill="1" applyBorder="1" applyAlignment="1">
      <alignment horizontal="left" vertical="top" wrapText="1" indent="1"/>
    </xf>
    <xf numFmtId="165" fontId="5" fillId="5" borderId="2" xfId="0" applyNumberFormat="1" applyFont="1" applyFill="1" applyBorder="1" applyAlignment="1">
      <alignment horizontal="left" vertical="top" wrapText="1" indent="1"/>
    </xf>
    <xf numFmtId="0" fontId="5" fillId="4" borderId="2" xfId="0" applyFont="1" applyFill="1" applyBorder="1" applyAlignment="1">
      <alignment horizontal="left" vertical="top" wrapText="1" indent="1"/>
    </xf>
    <xf numFmtId="0" fontId="4" fillId="6" borderId="2" xfId="0" applyFont="1" applyFill="1" applyBorder="1" applyAlignment="1">
      <alignment horizontal="left" vertical="top" wrapText="1" indent="1"/>
    </xf>
    <xf numFmtId="0" fontId="5" fillId="6" borderId="2" xfId="0" applyFont="1" applyFill="1" applyBorder="1" applyAlignment="1">
      <alignment horizontal="left" vertical="top" wrapText="1" indent="1"/>
    </xf>
    <xf numFmtId="0" fontId="6" fillId="6" borderId="2" xfId="0" applyFont="1" applyFill="1" applyBorder="1" applyAlignment="1">
      <alignment horizontal="left" vertical="top" wrapText="1" indent="1"/>
    </xf>
    <xf numFmtId="164" fontId="7" fillId="6" borderId="2" xfId="0" applyNumberFormat="1" applyFont="1" applyFill="1" applyBorder="1" applyAlignment="1">
      <alignment horizontal="center" vertical="top"/>
    </xf>
    <xf numFmtId="164" fontId="7" fillId="4" borderId="2" xfId="0" applyNumberFormat="1" applyFont="1" applyFill="1" applyBorder="1" applyAlignment="1">
      <alignment horizontal="center" vertical="top"/>
    </xf>
    <xf numFmtId="166" fontId="2" fillId="4" borderId="2" xfId="0" applyNumberFormat="1" applyFont="1" applyFill="1" applyBorder="1" applyAlignment="1">
      <alignment horizontal="left" vertical="top" wrapText="1" indent="1"/>
    </xf>
    <xf numFmtId="1" fontId="7" fillId="6" borderId="2" xfId="0" applyNumberFormat="1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left" vertical="center"/>
    </xf>
    <xf numFmtId="164" fontId="5" fillId="7" borderId="4" xfId="0" applyNumberFormat="1" applyFont="1" applyFill="1" applyBorder="1" applyAlignment="1">
      <alignment horizontal="left" vertical="top" wrapText="1" indent="1"/>
    </xf>
    <xf numFmtId="166" fontId="9" fillId="2" borderId="2" xfId="0" applyNumberFormat="1" applyFont="1" applyFill="1" applyBorder="1" applyAlignment="1">
      <alignment horizontal="center"/>
    </xf>
    <xf numFmtId="0" fontId="10" fillId="4" borderId="2" xfId="0" applyFont="1" applyFill="1" applyBorder="1" applyAlignment="1">
      <alignment horizontal="left" vertical="top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4" fillId="5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 vertical="top" wrapText="1" indent="1"/>
    </xf>
    <xf numFmtId="0" fontId="11" fillId="4" borderId="2" xfId="0" applyFont="1" applyFill="1" applyBorder="1" applyAlignment="1">
      <alignment horizontal="left" vertical="top" wrapText="1" indent="1"/>
    </xf>
    <xf numFmtId="0" fontId="7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top" wrapText="1" indent="1"/>
    </xf>
    <xf numFmtId="166" fontId="8" fillId="5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right" vertical="center" indent="1"/>
    </xf>
    <xf numFmtId="164" fontId="8" fillId="7" borderId="4" xfId="0" applyNumberFormat="1" applyFont="1" applyFill="1" applyBorder="1" applyAlignment="1">
      <alignment horizontal="center" vertical="center"/>
    </xf>
    <xf numFmtId="166" fontId="5" fillId="7" borderId="4" xfId="0" applyNumberFormat="1" applyFont="1" applyFill="1" applyBorder="1" applyAlignment="1">
      <alignment horizontal="left" vertical="top" wrapText="1" indent="1"/>
    </xf>
    <xf numFmtId="1" fontId="8" fillId="7" borderId="4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indent="1"/>
    </xf>
    <xf numFmtId="1" fontId="8" fillId="5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top" indent="1"/>
    </xf>
    <xf numFmtId="0" fontId="5" fillId="6" borderId="2" xfId="0" applyFont="1" applyFill="1" applyBorder="1" applyAlignment="1">
      <alignment horizontal="center" vertical="top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9" borderId="2" xfId="0" applyFont="1" applyFill="1" applyBorder="1" applyAlignment="1">
      <alignment horizontal="center" vertical="top"/>
    </xf>
    <xf numFmtId="0" fontId="8" fillId="8" borderId="2" xfId="0" applyFont="1" applyFill="1" applyBorder="1" applyAlignment="1">
      <alignment horizontal="center" vertical="top"/>
    </xf>
    <xf numFmtId="0" fontId="8" fillId="9" borderId="2" xfId="0" applyFont="1" applyFill="1" applyBorder="1" applyAlignment="1">
      <alignment horizontal="center" vertical="top"/>
    </xf>
    <xf numFmtId="0" fontId="4" fillId="10" borderId="2" xfId="0" applyFont="1" applyFill="1" applyBorder="1" applyAlignment="1">
      <alignment horizontal="center" vertical="top"/>
    </xf>
    <xf numFmtId="0" fontId="8" fillId="10" borderId="2" xfId="0" applyFont="1" applyFill="1" applyBorder="1" applyAlignment="1">
      <alignment horizontal="center" vertical="top"/>
    </xf>
    <xf numFmtId="164" fontId="4" fillId="5" borderId="2" xfId="0" applyNumberFormat="1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7" borderId="4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top" wrapText="1" indent="1"/>
    </xf>
    <xf numFmtId="3" fontId="5" fillId="7" borderId="4" xfId="0" applyNumberFormat="1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1" fontId="5" fillId="7" borderId="4" xfId="0" applyNumberFormat="1" applyFont="1" applyFill="1" applyBorder="1" applyAlignment="1">
      <alignment horizontal="center" vertical="center"/>
    </xf>
    <xf numFmtId="3" fontId="5" fillId="5" borderId="2" xfId="0" applyNumberFormat="1" applyFont="1" applyFill="1" applyBorder="1" applyAlignment="1">
      <alignment horizontal="center" vertical="center"/>
    </xf>
    <xf numFmtId="9" fontId="5" fillId="5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top" wrapText="1" indent="1"/>
    </xf>
    <xf numFmtId="165" fontId="5" fillId="5" borderId="2" xfId="0" applyNumberFormat="1" applyFont="1" applyFill="1" applyBorder="1" applyAlignment="1">
      <alignment horizontal="center" vertical="center"/>
    </xf>
    <xf numFmtId="0" fontId="15" fillId="0" borderId="0" xfId="0" applyFont="1"/>
    <xf numFmtId="0" fontId="21" fillId="14" borderId="0" xfId="0" applyFont="1" applyFill="1"/>
    <xf numFmtId="0" fontId="0" fillId="14" borderId="0" xfId="0" applyFill="1"/>
    <xf numFmtId="0" fontId="17" fillId="11" borderId="0" xfId="0" applyFont="1" applyFill="1"/>
    <xf numFmtId="0" fontId="18" fillId="0" borderId="0" xfId="0" applyFont="1"/>
    <xf numFmtId="0" fontId="22" fillId="15" borderId="0" xfId="0" applyFont="1" applyFill="1"/>
    <xf numFmtId="0" fontId="19" fillId="0" borderId="0" xfId="0" applyFont="1" applyAlignment="1">
      <alignment vertical="top" wrapText="1"/>
    </xf>
    <xf numFmtId="0" fontId="19" fillId="0" borderId="0" xfId="0" applyFont="1"/>
    <xf numFmtId="0" fontId="22" fillId="13" borderId="0" xfId="0" applyFont="1" applyFill="1"/>
    <xf numFmtId="0" fontId="17" fillId="11" borderId="0" xfId="0" applyFont="1" applyFill="1" applyAlignment="1">
      <alignment vertical="top" wrapText="1"/>
    </xf>
    <xf numFmtId="0" fontId="18" fillId="0" borderId="0" xfId="0" applyFont="1" applyAlignment="1">
      <alignment vertical="top" wrapText="1"/>
    </xf>
    <xf numFmtId="0" fontId="19" fillId="12" borderId="0" xfId="0" applyFont="1" applyFill="1" applyAlignment="1">
      <alignment vertical="top" wrapText="1"/>
    </xf>
    <xf numFmtId="0" fontId="18" fillId="13" borderId="0" xfId="0" applyFont="1" applyFill="1" applyAlignment="1">
      <alignment vertical="top" wrapText="1"/>
    </xf>
    <xf numFmtId="0" fontId="19" fillId="13" borderId="0" xfId="0" applyFont="1" applyFill="1" applyAlignment="1">
      <alignment vertical="top" wrapText="1"/>
    </xf>
    <xf numFmtId="167" fontId="18" fillId="16" borderId="0" xfId="0" applyNumberFormat="1" applyFont="1" applyFill="1"/>
    <xf numFmtId="167" fontId="18" fillId="15" borderId="0" xfId="0" applyNumberFormat="1" applyFont="1" applyFill="1"/>
    <xf numFmtId="1" fontId="18" fillId="16" borderId="0" xfId="0" applyNumberFormat="1" applyFont="1" applyFill="1"/>
    <xf numFmtId="0" fontId="1" fillId="2" borderId="1" xfId="0" applyFont="1" applyFill="1" applyBorder="1" applyAlignment="1">
      <alignment horizontal="left" vertical="center" indent="1"/>
    </xf>
    <xf numFmtId="0" fontId="0" fillId="0" borderId="1" xfId="0" applyBorder="1"/>
    <xf numFmtId="0" fontId="5" fillId="4" borderId="2" xfId="0" applyFont="1" applyFill="1" applyBorder="1" applyAlignment="1">
      <alignment horizontal="left" vertical="center" wrapText="1" indent="1"/>
    </xf>
    <xf numFmtId="0" fontId="0" fillId="0" borderId="7" xfId="0" applyBorder="1"/>
    <xf numFmtId="0" fontId="0" fillId="0" borderId="8" xfId="0" applyBorder="1"/>
    <xf numFmtId="0" fontId="2" fillId="0" borderId="2" xfId="0" applyFont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2" fillId="0" borderId="0" xfId="0" applyFont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/>
    </xf>
    <xf numFmtId="0" fontId="0" fillId="0" borderId="3" xfId="0" applyBorder="1"/>
    <xf numFmtId="0" fontId="10" fillId="4" borderId="2" xfId="0" applyFont="1" applyFill="1" applyBorder="1" applyAlignment="1">
      <alignment horizontal="left" vertical="top" wrapText="1" indent="1"/>
    </xf>
    <xf numFmtId="0" fontId="2" fillId="0" borderId="0" xfId="0" applyFont="1" applyAlignment="1">
      <alignment vertical="top" wrapText="1"/>
    </xf>
    <xf numFmtId="0" fontId="8" fillId="0" borderId="3" xfId="0" applyFont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top" wrapText="1" indent="1"/>
    </xf>
    <xf numFmtId="0" fontId="13" fillId="0" borderId="0" xfId="0" applyFont="1" applyAlignment="1">
      <alignment horizontal="left" indent="1"/>
    </xf>
    <xf numFmtId="0" fontId="4" fillId="6" borderId="9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3" fillId="4" borderId="2" xfId="0" applyFont="1" applyFill="1" applyBorder="1" applyAlignment="1">
      <alignment horizontal="left" indent="1"/>
    </xf>
    <xf numFmtId="0" fontId="2" fillId="0" borderId="0" xfId="0" applyFont="1" applyAlignment="1">
      <alignment wrapText="1"/>
    </xf>
    <xf numFmtId="0" fontId="1" fillId="2" borderId="1" xfId="0" applyFont="1" applyFill="1" applyBorder="1" applyAlignment="1">
      <alignment horizontal="left" vertical="center" wrapText="1" indent="1"/>
    </xf>
    <xf numFmtId="0" fontId="16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nvidia.com/networking/display/bluefield3dpu" TargetMode="External"/><Relationship Id="rId2" Type="http://schemas.openxmlformats.org/officeDocument/2006/relationships/hyperlink" Target="https://www.checkpoint.com/press-releases/check-point-redefines-ai-security-for-enterprises-with-ai-cloud-protect-powered-by-nvidia-bluefield/" TargetMode="External"/><Relationship Id="rId1" Type="http://schemas.openxmlformats.org/officeDocument/2006/relationships/hyperlink" Target="https://www.checkpoint.com/downloads/products/check-point-appliance-comparison-chart.pdf" TargetMode="External"/><Relationship Id="rId6" Type="http://schemas.openxmlformats.org/officeDocument/2006/relationships/hyperlink" Target="https://www.checkpoint.com/downloads/products/check-point-appliance-comparison-chart.pdf" TargetMode="External"/><Relationship Id="rId5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www.checkpoint.com/downloads/products/check-point-appliance-comparison-chart.pd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/display/bluefield3dpu" TargetMode="External"/><Relationship Id="rId3" Type="http://schemas.openxmlformats.org/officeDocument/2006/relationships/hyperlink" Target="https://www.checkpoint.com/downloads/products/check-point-appliance-comparison-chart.pdf" TargetMode="External"/><Relationship Id="rId7" Type="http://schemas.openxmlformats.org/officeDocument/2006/relationships/hyperlink" Target="https://csrc.nist.gov/projects/cryptographic-module-validation-program" TargetMode="External"/><Relationship Id="rId2" Type="http://schemas.openxmlformats.org/officeDocument/2006/relationships/hyperlink" Target="https://docs.nvidia.com/networking/display/bluefield3dpu" TargetMode="External"/><Relationship Id="rId1" Type="http://schemas.openxmlformats.org/officeDocument/2006/relationships/hyperlink" Target="https://www.checkpoint.com/downloads/products/check-point-appliance-comparison-chart.pdf" TargetMode="External"/><Relationship Id="rId6" Type="http://schemas.openxmlformats.org/officeDocument/2006/relationships/hyperlink" Target="https://www.checkpoint.com/downloads/products/check-point-appliance-comparison-chart.pdf" TargetMode="External"/><Relationship Id="rId5" Type="http://schemas.openxmlformats.org/officeDocument/2006/relationships/hyperlink" Target="https://docs.nvidia.com/networking/display/bluefield3dpu" TargetMode="External"/><Relationship Id="rId10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www.checkpoint.com/press-releases/check-point-redefines-ai-security-for-enterprises-with-ai-cloud-protect-powered-by-nvidia-bluefield/" TargetMode="External"/><Relationship Id="rId9" Type="http://schemas.openxmlformats.org/officeDocument/2006/relationships/hyperlink" Target="https://docs.nvidia.com/networking/display/bluefield3dpu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src.nist.gov/projects/cryptographic-module-validation-program" TargetMode="External"/><Relationship Id="rId2" Type="http://schemas.openxmlformats.org/officeDocument/2006/relationships/hyperlink" Target="https://www.checkpoint.com/downloads/products/check-point-appliance-comparison-chart.pdf" TargetMode="External"/><Relationship Id="rId1" Type="http://schemas.openxmlformats.org/officeDocument/2006/relationships/hyperlink" Target="https://www.checkpoint.com/press-releases/check-point-redefines-ai-security-for-enterprises-with-ai-cloud-protect-powered-by-nvidia-bluefield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heckpoint.com/downloads/products/check-point-appliance-comparison-chart.pdf" TargetMode="External"/><Relationship Id="rId2" Type="http://schemas.openxmlformats.org/officeDocument/2006/relationships/hyperlink" Target="https://www.checkpoint.com/downloads/products/check-point-appliance-comparison-chart.pdf" TargetMode="External"/><Relationship Id="rId1" Type="http://schemas.openxmlformats.org/officeDocument/2006/relationships/hyperlink" Target="https://www.checkpoint.com/downloads/products/quantum-force-9800-datasheet.pdf" TargetMode="External"/><Relationship Id="rId6" Type="http://schemas.openxmlformats.org/officeDocument/2006/relationships/hyperlink" Target="https://csrc.nist.gov/projects/cryptographic-module-validation-program" TargetMode="External"/><Relationship Id="rId5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www.checkpoint.com/press-releases/check-point-redefines-ai-security-for-enterprises-with-ai-cloud-protect-powered-by-nvidia-bluefield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heckpoint.com/press-releases/check-point-redefines-ai-security-for-enterprises-with-ai-cloud-protect-powered-by-nvidia-bluefield/" TargetMode="External"/><Relationship Id="rId2" Type="http://schemas.openxmlformats.org/officeDocument/2006/relationships/hyperlink" Target="https://www.checkpoint.com/downloads/products/check-point-appliance-comparison-chart.pdf" TargetMode="External"/><Relationship Id="rId1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csrc.nist.gov/projects/cryptographic-module-validation-progr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zoomScaleNormal="100" workbookViewId="0">
      <pane ySplit="4" topLeftCell="A5" activePane="bottomLeft" state="frozen"/>
      <selection pane="bottomLeft" sqref="A1:D1"/>
    </sheetView>
  </sheetViews>
  <sheetFormatPr defaultRowHeight="14.25" customHeight="1" x14ac:dyDescent="0.2"/>
  <cols>
    <col min="1" max="1" width="32" customWidth="1"/>
    <col min="2" max="2" width="24" customWidth="1"/>
    <col min="3" max="3" width="34" customWidth="1"/>
    <col min="4" max="4" width="46" customWidth="1"/>
  </cols>
  <sheetData>
    <row r="1" spans="1:4" ht="30" customHeight="1" x14ac:dyDescent="0.2">
      <c r="A1" s="71" t="s">
        <v>0</v>
      </c>
      <c r="B1" s="72"/>
      <c r="C1" s="72"/>
      <c r="D1" s="72"/>
    </row>
    <row r="2" spans="1:4" ht="17.100000000000001" customHeight="1" x14ac:dyDescent="0.2">
      <c r="A2" s="78" t="s">
        <v>1</v>
      </c>
      <c r="B2" s="79"/>
      <c r="C2" s="79"/>
      <c r="D2" s="79"/>
    </row>
    <row r="4" spans="1:4" ht="27.95" customHeight="1" x14ac:dyDescent="0.2">
      <c r="A4" s="1" t="s">
        <v>2</v>
      </c>
      <c r="B4" s="1" t="s">
        <v>3</v>
      </c>
      <c r="C4" s="1" t="s">
        <v>4</v>
      </c>
      <c r="D4" s="1" t="s">
        <v>5</v>
      </c>
    </row>
    <row r="5" spans="1:4" ht="28.5" customHeight="1" x14ac:dyDescent="0.2">
      <c r="A5" s="2" t="s">
        <v>6</v>
      </c>
      <c r="B5" s="3" t="s">
        <v>7</v>
      </c>
      <c r="C5" s="4" t="s">
        <v>8</v>
      </c>
      <c r="D5" s="3" t="s">
        <v>9</v>
      </c>
    </row>
    <row r="6" spans="1:4" ht="28.5" customHeight="1" x14ac:dyDescent="0.2">
      <c r="A6" s="5" t="s">
        <v>10</v>
      </c>
      <c r="B6" s="6" t="s">
        <v>11</v>
      </c>
      <c r="C6" s="7" t="s">
        <v>12</v>
      </c>
      <c r="D6" s="6" t="s">
        <v>13</v>
      </c>
    </row>
    <row r="7" spans="1:4" x14ac:dyDescent="0.2">
      <c r="A7" s="2" t="s">
        <v>14</v>
      </c>
      <c r="B7" s="3" t="s">
        <v>15</v>
      </c>
      <c r="C7" s="4" t="s">
        <v>16</v>
      </c>
      <c r="D7" s="3" t="s">
        <v>17</v>
      </c>
    </row>
    <row r="8" spans="1:4" ht="28.5" customHeight="1" x14ac:dyDescent="0.2">
      <c r="A8" s="5" t="s">
        <v>18</v>
      </c>
      <c r="B8" s="8">
        <f>'2 · Investment'!B16</f>
        <v>249999.99999999997</v>
      </c>
      <c r="C8" s="7" t="s">
        <v>19</v>
      </c>
      <c r="D8" s="6" t="s">
        <v>20</v>
      </c>
    </row>
    <row r="9" spans="1:4" ht="15" customHeight="1" x14ac:dyDescent="0.2">
      <c r="A9" s="2" t="s">
        <v>21</v>
      </c>
      <c r="B9" s="9">
        <f>'2 · Investment'!B9</f>
        <v>7200000</v>
      </c>
      <c r="C9" s="10" t="s">
        <v>19</v>
      </c>
      <c r="D9" s="3" t="s">
        <v>22</v>
      </c>
    </row>
    <row r="10" spans="1:4" ht="15" customHeight="1" x14ac:dyDescent="0.2">
      <c r="A10" s="5" t="s">
        <v>23</v>
      </c>
      <c r="B10" s="11">
        <f>'2 · Investment'!B17</f>
        <v>12</v>
      </c>
      <c r="C10" s="7" t="s">
        <v>19</v>
      </c>
      <c r="D10" s="6" t="s">
        <v>24</v>
      </c>
    </row>
    <row r="11" spans="1:4" x14ac:dyDescent="0.2">
      <c r="A11" s="2" t="s">
        <v>25</v>
      </c>
      <c r="B11" s="3">
        <f>'2 · Investment'!B18</f>
        <v>18</v>
      </c>
      <c r="C11" s="10" t="s">
        <v>19</v>
      </c>
      <c r="D11" s="3" t="s">
        <v>26</v>
      </c>
    </row>
    <row r="12" spans="1:4" x14ac:dyDescent="0.2">
      <c r="A12" s="5" t="s">
        <v>27</v>
      </c>
      <c r="B12" s="6" t="s">
        <v>28</v>
      </c>
      <c r="C12" s="7" t="s">
        <v>19</v>
      </c>
      <c r="D12" s="6" t="s">
        <v>29</v>
      </c>
    </row>
    <row r="14" spans="1:4" ht="20.100000000000001" customHeight="1" x14ac:dyDescent="0.2">
      <c r="A14" s="81" t="s">
        <v>30</v>
      </c>
      <c r="B14" s="82"/>
      <c r="C14" s="82"/>
      <c r="D14" s="82"/>
    </row>
    <row r="15" spans="1:4" ht="27.95" customHeight="1" x14ac:dyDescent="0.2">
      <c r="A15" s="1" t="s">
        <v>31</v>
      </c>
      <c r="B15" s="1" t="s">
        <v>32</v>
      </c>
      <c r="C15" s="1" t="s">
        <v>33</v>
      </c>
      <c r="D15" s="1" t="s">
        <v>4</v>
      </c>
    </row>
    <row r="16" spans="1:4" ht="15" x14ac:dyDescent="0.25">
      <c r="A16" s="2" t="s">
        <v>34</v>
      </c>
      <c r="B16" s="13">
        <f>'2 · Investment'!B5</f>
        <v>4500000</v>
      </c>
      <c r="C16" s="14">
        <f>'2 · Investment'!C5</f>
        <v>0.625</v>
      </c>
      <c r="D16" s="10" t="s">
        <v>19</v>
      </c>
    </row>
    <row r="17" spans="1:4" ht="15" x14ac:dyDescent="0.25">
      <c r="A17" s="5" t="s">
        <v>35</v>
      </c>
      <c r="B17" s="13">
        <f>'2 · Investment'!B6</f>
        <v>1200000</v>
      </c>
      <c r="C17" s="14">
        <f>'2 · Investment'!C6</f>
        <v>0.16666666666666666</v>
      </c>
      <c r="D17" s="4" t="s">
        <v>8</v>
      </c>
    </row>
    <row r="18" spans="1:4" ht="15" x14ac:dyDescent="0.25">
      <c r="A18" s="15" t="s">
        <v>36</v>
      </c>
      <c r="B18" s="13">
        <f>'2 · Investment'!B7</f>
        <v>800000</v>
      </c>
      <c r="C18" s="14">
        <f>'2 · Investment'!C7</f>
        <v>0.1111111111111111</v>
      </c>
      <c r="D18" s="4" t="s">
        <v>16</v>
      </c>
    </row>
    <row r="19" spans="1:4" ht="15" x14ac:dyDescent="0.25">
      <c r="A19" s="5" t="s">
        <v>37</v>
      </c>
      <c r="B19" s="13">
        <f>'2 · Investment'!B8</f>
        <v>700000</v>
      </c>
      <c r="C19" s="14">
        <f>'2 · Investment'!C8</f>
        <v>9.7222222222222224E-2</v>
      </c>
      <c r="D19" s="10" t="s">
        <v>19</v>
      </c>
    </row>
    <row r="20" spans="1:4" ht="15" customHeight="1" x14ac:dyDescent="0.25">
      <c r="A20" s="13" t="s">
        <v>38</v>
      </c>
      <c r="B20" s="13">
        <f>'2 · Investment'!B9</f>
        <v>7200000</v>
      </c>
      <c r="C20" s="14">
        <f>'2 · Investment'!C9</f>
        <v>1</v>
      </c>
      <c r="D20" s="13"/>
    </row>
    <row r="22" spans="1:4" ht="21.95" customHeight="1" x14ac:dyDescent="0.2">
      <c r="A22" s="77" t="s">
        <v>39</v>
      </c>
      <c r="B22" s="74"/>
      <c r="C22" s="74"/>
      <c r="D22" s="75"/>
    </row>
    <row r="23" spans="1:4" ht="26.1" customHeight="1" x14ac:dyDescent="0.2">
      <c r="A23" s="73" t="s">
        <v>40</v>
      </c>
      <c r="B23" s="74"/>
      <c r="C23" s="74"/>
      <c r="D23" s="75"/>
    </row>
    <row r="24" spans="1:4" ht="21.95" customHeight="1" x14ac:dyDescent="0.2">
      <c r="A24" s="16" t="s">
        <v>41</v>
      </c>
      <c r="B24" s="16" t="s">
        <v>42</v>
      </c>
      <c r="C24" s="16" t="s">
        <v>43</v>
      </c>
      <c r="D24" s="16" t="s">
        <v>44</v>
      </c>
    </row>
    <row r="25" spans="1:4" ht="26.1" customHeight="1" x14ac:dyDescent="0.2">
      <c r="A25" s="4" t="s">
        <v>45</v>
      </c>
      <c r="B25" s="17" t="s">
        <v>46</v>
      </c>
      <c r="C25" s="18" t="s">
        <v>47</v>
      </c>
      <c r="D25" s="19" t="s">
        <v>48</v>
      </c>
    </row>
    <row r="26" spans="1:4" ht="26.1" customHeight="1" x14ac:dyDescent="0.2">
      <c r="A26" s="4" t="s">
        <v>49</v>
      </c>
      <c r="B26" s="17" t="s">
        <v>50</v>
      </c>
      <c r="C26" s="18" t="s">
        <v>47</v>
      </c>
      <c r="D26" s="19" t="s">
        <v>51</v>
      </c>
    </row>
    <row r="27" spans="1:4" ht="26.1" customHeight="1" x14ac:dyDescent="0.2">
      <c r="A27" s="4" t="s">
        <v>52</v>
      </c>
      <c r="B27" s="17" t="s">
        <v>53</v>
      </c>
      <c r="C27" s="18" t="s">
        <v>54</v>
      </c>
      <c r="D27" s="19" t="s">
        <v>55</v>
      </c>
    </row>
    <row r="28" spans="1:4" ht="26.1" customHeight="1" x14ac:dyDescent="0.2">
      <c r="A28" s="4" t="s">
        <v>56</v>
      </c>
      <c r="B28" s="20" t="s">
        <v>57</v>
      </c>
      <c r="C28" s="21" t="s">
        <v>58</v>
      </c>
      <c r="D28" s="19" t="s">
        <v>59</v>
      </c>
    </row>
    <row r="29" spans="1:4" ht="26.1" customHeight="1" x14ac:dyDescent="0.2">
      <c r="A29" s="4" t="s">
        <v>60</v>
      </c>
      <c r="B29" s="20" t="s">
        <v>61</v>
      </c>
      <c r="C29" s="18" t="s">
        <v>62</v>
      </c>
      <c r="D29" s="19" t="s">
        <v>63</v>
      </c>
    </row>
    <row r="30" spans="1:4" ht="26.1" customHeight="1" x14ac:dyDescent="0.2">
      <c r="A30" s="4" t="s">
        <v>64</v>
      </c>
      <c r="B30" s="20" t="s">
        <v>65</v>
      </c>
      <c r="C30" s="18" t="s">
        <v>66</v>
      </c>
      <c r="D30" s="19" t="s">
        <v>67</v>
      </c>
    </row>
    <row r="31" spans="1:4" ht="39.950000000000003" customHeight="1" x14ac:dyDescent="0.2">
      <c r="A31" s="76" t="s">
        <v>68</v>
      </c>
      <c r="B31" s="74"/>
      <c r="C31" s="74"/>
      <c r="D31" s="75"/>
    </row>
    <row r="32" spans="1:4" ht="21.95" customHeight="1" x14ac:dyDescent="0.2"/>
    <row r="33" spans="1:4" ht="21.95" customHeight="1" x14ac:dyDescent="0.2">
      <c r="A33" s="80" t="s">
        <v>69</v>
      </c>
      <c r="B33" s="79"/>
      <c r="C33" s="79"/>
      <c r="D33" s="79"/>
    </row>
  </sheetData>
  <mergeCells count="7">
    <mergeCell ref="A33:D33"/>
    <mergeCell ref="A14:D14"/>
    <mergeCell ref="A1:D1"/>
    <mergeCell ref="A23:D23"/>
    <mergeCell ref="A31:D31"/>
    <mergeCell ref="A22:D22"/>
    <mergeCell ref="A2:D2"/>
  </mergeCells>
  <hyperlinks>
    <hyperlink ref="C5" r:id="rId1" xr:uid="{00000000-0004-0000-0000-000000000000}"/>
    <hyperlink ref="C6" r:id="rId2" xr:uid="{00000000-0004-0000-0000-000001000000}"/>
    <hyperlink ref="C7" r:id="rId3" xr:uid="{00000000-0004-0000-0000-000002000000}"/>
    <hyperlink ref="D17" r:id="rId4" xr:uid="{00000000-0004-0000-0000-000003000000}"/>
    <hyperlink ref="D18" r:id="rId5" xr:uid="{00000000-0004-0000-0000-000004000000}"/>
    <hyperlink ref="D25" r:id="rId6" xr:uid="{00000000-0004-0000-0000-000005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showGridLines="0" zoomScaleNormal="100" workbookViewId="0">
      <pane ySplit="9" topLeftCell="A10" activePane="bottomLeft" state="frozen"/>
      <selection pane="bottomLeft"/>
    </sheetView>
  </sheetViews>
  <sheetFormatPr defaultRowHeight="14.25" customHeight="1" x14ac:dyDescent="0.2"/>
  <cols>
    <col min="1" max="1" width="36" customWidth="1"/>
    <col min="2" max="2" width="16" customWidth="1"/>
    <col min="3" max="3" width="15" customWidth="1"/>
    <col min="4" max="4" width="16" customWidth="1"/>
    <col min="5" max="5" width="30" customWidth="1"/>
    <col min="6" max="6" width="46" customWidth="1"/>
  </cols>
  <sheetData>
    <row r="1" spans="1:6" ht="30" customHeight="1" x14ac:dyDescent="0.2">
      <c r="A1" s="71" t="s">
        <v>70</v>
      </c>
      <c r="B1" s="72"/>
      <c r="C1" s="72"/>
      <c r="D1" s="72"/>
      <c r="E1" s="72"/>
      <c r="F1" s="72"/>
    </row>
    <row r="2" spans="1:6" ht="17.100000000000001" customHeight="1" x14ac:dyDescent="0.2">
      <c r="A2" s="78" t="s">
        <v>71</v>
      </c>
      <c r="B2" s="79"/>
      <c r="C2" s="79"/>
      <c r="D2" s="79"/>
      <c r="E2" s="79"/>
      <c r="F2" s="79"/>
    </row>
    <row r="3" spans="1:6" ht="20.100000000000001" customHeight="1" x14ac:dyDescent="0.2">
      <c r="A3" s="81" t="s">
        <v>72</v>
      </c>
      <c r="B3" s="82"/>
      <c r="C3" s="82"/>
      <c r="D3" s="82"/>
      <c r="E3" s="82"/>
      <c r="F3" s="82"/>
    </row>
    <row r="4" spans="1:6" ht="27.95" customHeight="1" x14ac:dyDescent="0.2">
      <c r="A4" s="2" t="s">
        <v>73</v>
      </c>
      <c r="B4" s="1" t="s">
        <v>32</v>
      </c>
      <c r="C4" s="22" t="s">
        <v>33</v>
      </c>
      <c r="D4" s="16"/>
      <c r="E4" s="16" t="s">
        <v>4</v>
      </c>
      <c r="F4" s="16" t="s">
        <v>5</v>
      </c>
    </row>
    <row r="5" spans="1:6" ht="15" customHeight="1" x14ac:dyDescent="0.2">
      <c r="A5" s="2" t="s">
        <v>74</v>
      </c>
      <c r="B5" s="23">
        <f>D27</f>
        <v>4500000</v>
      </c>
      <c r="C5" s="22">
        <f>B5/$B$9</f>
        <v>0.625</v>
      </c>
      <c r="D5" s="24"/>
      <c r="E5" s="18" t="s">
        <v>19</v>
      </c>
      <c r="F5" s="24" t="s">
        <v>75</v>
      </c>
    </row>
    <row r="6" spans="1:6" ht="15" customHeight="1" x14ac:dyDescent="0.2">
      <c r="A6" s="2" t="s">
        <v>76</v>
      </c>
      <c r="B6" s="23">
        <f>D34</f>
        <v>1200000</v>
      </c>
      <c r="C6" s="22">
        <f>B6/$B$9</f>
        <v>0.16666666666666666</v>
      </c>
      <c r="D6" s="24"/>
      <c r="E6" s="4" t="s">
        <v>8</v>
      </c>
      <c r="F6" s="24" t="s">
        <v>77</v>
      </c>
    </row>
    <row r="7" spans="1:6" ht="15" x14ac:dyDescent="0.2">
      <c r="A7" s="15" t="s">
        <v>78</v>
      </c>
      <c r="B7" s="23">
        <f>D42</f>
        <v>800000</v>
      </c>
      <c r="C7" s="22">
        <f>B7/$B$9</f>
        <v>0.1111111111111111</v>
      </c>
      <c r="D7" s="24"/>
      <c r="E7" s="4" t="s">
        <v>16</v>
      </c>
      <c r="F7" s="24" t="s">
        <v>79</v>
      </c>
    </row>
    <row r="8" spans="1:6" ht="30" customHeight="1" x14ac:dyDescent="0.2">
      <c r="A8" s="1" t="s">
        <v>80</v>
      </c>
      <c r="B8" s="1">
        <f>D49</f>
        <v>700000</v>
      </c>
      <c r="C8" s="1">
        <f>B8/$B$9</f>
        <v>9.7222222222222224E-2</v>
      </c>
      <c r="D8" s="1"/>
      <c r="E8" s="1" t="s">
        <v>19</v>
      </c>
      <c r="F8" s="1" t="s">
        <v>81</v>
      </c>
    </row>
    <row r="9" spans="1:6" ht="28.5" customHeight="1" x14ac:dyDescent="0.2">
      <c r="A9" s="2" t="s">
        <v>38</v>
      </c>
      <c r="B9" s="3">
        <f>SUM(B5:B8)</f>
        <v>7200000</v>
      </c>
      <c r="C9" s="10">
        <f>B9/$B$9</f>
        <v>1</v>
      </c>
      <c r="D9" s="3"/>
      <c r="E9" s="4"/>
      <c r="F9" s="4"/>
    </row>
    <row r="10" spans="1:6" ht="28.5" customHeight="1" x14ac:dyDescent="0.2">
      <c r="A10" s="5" t="s">
        <v>82</v>
      </c>
      <c r="B10" s="3" t="s">
        <v>83</v>
      </c>
      <c r="C10" s="4" t="s">
        <v>8</v>
      </c>
      <c r="D10" s="3" t="s">
        <v>84</v>
      </c>
      <c r="E10" s="4"/>
      <c r="F10" s="4"/>
    </row>
    <row r="11" spans="1:6" ht="20.100000000000001" customHeight="1" x14ac:dyDescent="0.2">
      <c r="A11" s="83" t="s">
        <v>85</v>
      </c>
      <c r="B11" s="74"/>
      <c r="C11" s="74"/>
      <c r="D11" s="74"/>
      <c r="E11" s="74"/>
      <c r="F11" s="75"/>
    </row>
    <row r="12" spans="1:6" ht="27.95" customHeight="1" x14ac:dyDescent="0.2">
      <c r="A12" s="5" t="s">
        <v>86</v>
      </c>
      <c r="B12" s="3" t="s">
        <v>3</v>
      </c>
      <c r="C12" s="10" t="s">
        <v>87</v>
      </c>
      <c r="D12" s="3"/>
      <c r="E12" s="4" t="s">
        <v>4</v>
      </c>
      <c r="F12" s="4" t="s">
        <v>5</v>
      </c>
    </row>
    <row r="13" spans="1:6" ht="15" customHeight="1" x14ac:dyDescent="0.2">
      <c r="A13" s="13" t="s">
        <v>88</v>
      </c>
      <c r="B13" s="13">
        <v>170000</v>
      </c>
      <c r="C13" s="13" t="s">
        <v>89</v>
      </c>
      <c r="D13" s="13"/>
      <c r="E13" s="13" t="s">
        <v>19</v>
      </c>
      <c r="F13" s="13" t="s">
        <v>90</v>
      </c>
    </row>
    <row r="14" spans="1:6" ht="15" x14ac:dyDescent="0.2">
      <c r="A14" s="2" t="s">
        <v>91</v>
      </c>
      <c r="B14" s="25">
        <v>0.4</v>
      </c>
      <c r="C14" s="24" t="s">
        <v>92</v>
      </c>
      <c r="D14" s="24"/>
      <c r="E14" s="18" t="s">
        <v>19</v>
      </c>
      <c r="F14" s="24" t="s">
        <v>93</v>
      </c>
    </row>
    <row r="15" spans="1:6" ht="20.100000000000001" customHeight="1" x14ac:dyDescent="0.2">
      <c r="A15" s="12" t="s">
        <v>94</v>
      </c>
      <c r="B15" s="13">
        <v>12000</v>
      </c>
      <c r="C15" s="24" t="s">
        <v>95</v>
      </c>
      <c r="D15" s="24"/>
      <c r="E15" s="18" t="s">
        <v>19</v>
      </c>
      <c r="F15" s="24" t="s">
        <v>96</v>
      </c>
    </row>
    <row r="16" spans="1:6" ht="30" customHeight="1" x14ac:dyDescent="0.2">
      <c r="A16" s="1" t="s">
        <v>97</v>
      </c>
      <c r="B16" s="1">
        <f>B13*(1+B14)+B15</f>
        <v>249999.99999999997</v>
      </c>
      <c r="C16" s="1" t="s">
        <v>89</v>
      </c>
      <c r="D16" s="1"/>
      <c r="E16" s="1" t="s">
        <v>19</v>
      </c>
      <c r="F16" s="1" t="s">
        <v>98</v>
      </c>
    </row>
    <row r="17" spans="1:6" ht="28.5" customHeight="1" x14ac:dyDescent="0.2">
      <c r="A17" s="3" t="s">
        <v>99</v>
      </c>
      <c r="B17" s="3">
        <v>12</v>
      </c>
      <c r="C17" s="4" t="s">
        <v>100</v>
      </c>
      <c r="D17" s="3"/>
      <c r="E17" s="4" t="s">
        <v>19</v>
      </c>
      <c r="F17" s="4" t="s">
        <v>101</v>
      </c>
    </row>
    <row r="18" spans="1:6" ht="28.5" customHeight="1" x14ac:dyDescent="0.2">
      <c r="A18" s="3" t="s">
        <v>102</v>
      </c>
      <c r="B18" s="3">
        <v>18</v>
      </c>
      <c r="C18" s="10" t="s">
        <v>103</v>
      </c>
      <c r="D18" s="3"/>
      <c r="E18" s="4" t="s">
        <v>19</v>
      </c>
      <c r="F18" s="4" t="s">
        <v>104</v>
      </c>
    </row>
    <row r="19" spans="1:6" ht="25.5" x14ac:dyDescent="0.2">
      <c r="A19" s="3" t="s">
        <v>105</v>
      </c>
      <c r="B19" s="3">
        <f>B18/12</f>
        <v>1.5</v>
      </c>
      <c r="C19" s="4" t="s">
        <v>106</v>
      </c>
      <c r="D19" s="3"/>
      <c r="E19" s="4" t="s">
        <v>19</v>
      </c>
      <c r="F19" s="4" t="s">
        <v>107</v>
      </c>
    </row>
    <row r="20" spans="1:6" ht="38.25" x14ac:dyDescent="0.2">
      <c r="A20" s="3" t="s">
        <v>108</v>
      </c>
      <c r="B20" s="3" t="s">
        <v>109</v>
      </c>
      <c r="C20" s="10" t="s">
        <v>19</v>
      </c>
      <c r="D20" s="3" t="s">
        <v>110</v>
      </c>
      <c r="E20" s="4">
        <v>2</v>
      </c>
      <c r="F20" s="4">
        <f>$B$6</f>
        <v>1200000</v>
      </c>
    </row>
    <row r="21" spans="1:6" ht="20.100000000000001" customHeight="1" x14ac:dyDescent="0.2">
      <c r="A21" s="86" t="s">
        <v>111</v>
      </c>
      <c r="B21" s="74"/>
      <c r="C21" s="74"/>
      <c r="D21" s="74"/>
      <c r="E21" s="74"/>
      <c r="F21" s="75"/>
    </row>
    <row r="22" spans="1:6" ht="27.95" customHeight="1" x14ac:dyDescent="0.2">
      <c r="A22" s="16" t="s">
        <v>112</v>
      </c>
      <c r="B22" s="16" t="s">
        <v>113</v>
      </c>
      <c r="C22" s="16" t="s">
        <v>114</v>
      </c>
      <c r="D22" s="16" t="s">
        <v>115</v>
      </c>
      <c r="E22" s="16" t="s">
        <v>4</v>
      </c>
      <c r="F22" s="16" t="s">
        <v>5</v>
      </c>
    </row>
    <row r="23" spans="1:6" ht="25.5" x14ac:dyDescent="0.2">
      <c r="A23" s="24" t="s">
        <v>116</v>
      </c>
      <c r="B23" s="26">
        <v>3</v>
      </c>
      <c r="C23" s="24">
        <v>260000</v>
      </c>
      <c r="D23" s="27">
        <f>B23*C23*$B$19</f>
        <v>1170000</v>
      </c>
      <c r="E23" s="4" t="s">
        <v>12</v>
      </c>
      <c r="F23" s="24" t="s">
        <v>117</v>
      </c>
    </row>
    <row r="24" spans="1:6" ht="15" x14ac:dyDescent="0.2">
      <c r="A24" s="24" t="s">
        <v>118</v>
      </c>
      <c r="B24" s="26">
        <v>5</v>
      </c>
      <c r="C24" s="24">
        <v>260000</v>
      </c>
      <c r="D24" s="27">
        <f>B24*C24*$B$19</f>
        <v>1950000</v>
      </c>
      <c r="E24" s="18" t="s">
        <v>19</v>
      </c>
      <c r="F24" s="24" t="s">
        <v>119</v>
      </c>
    </row>
    <row r="25" spans="1:6" ht="15" x14ac:dyDescent="0.2">
      <c r="A25" s="28" t="s">
        <v>120</v>
      </c>
      <c r="B25" s="26">
        <v>2</v>
      </c>
      <c r="C25" s="24">
        <v>250000</v>
      </c>
      <c r="D25" s="27">
        <f>B25*C25*$B$19</f>
        <v>750000</v>
      </c>
      <c r="E25" s="4" t="s">
        <v>16</v>
      </c>
      <c r="F25" s="24" t="s">
        <v>121</v>
      </c>
    </row>
    <row r="26" spans="1:6" ht="15" x14ac:dyDescent="0.2">
      <c r="A26" s="24" t="s">
        <v>108</v>
      </c>
      <c r="B26" s="26">
        <v>2</v>
      </c>
      <c r="C26" s="24">
        <v>210000</v>
      </c>
      <c r="D26" s="27">
        <f>B26*C26*$B$19</f>
        <v>630000</v>
      </c>
      <c r="E26" s="18" t="s">
        <v>19</v>
      </c>
      <c r="F26" s="24" t="s">
        <v>122</v>
      </c>
    </row>
    <row r="27" spans="1:6" ht="25.5" x14ac:dyDescent="0.2">
      <c r="A27" s="2" t="s">
        <v>123</v>
      </c>
      <c r="B27" s="29">
        <f>SUM(B23:B26)</f>
        <v>12</v>
      </c>
      <c r="C27" s="24"/>
      <c r="D27" s="27">
        <f>SUM(D23:D26)</f>
        <v>4500000</v>
      </c>
      <c r="E27" s="24"/>
      <c r="F27" s="24"/>
    </row>
    <row r="29" spans="1:6" ht="20.100000000000001" customHeight="1" x14ac:dyDescent="0.2">
      <c r="A29" s="85" t="s">
        <v>124</v>
      </c>
      <c r="B29" s="82"/>
      <c r="C29" s="82"/>
      <c r="D29" s="82"/>
      <c r="E29" s="82"/>
      <c r="F29" s="82"/>
    </row>
    <row r="30" spans="1:6" ht="27.95" customHeight="1" x14ac:dyDescent="0.2">
      <c r="A30" s="16" t="s">
        <v>125</v>
      </c>
      <c r="B30" s="16" t="s">
        <v>126</v>
      </c>
      <c r="C30" s="16" t="s">
        <v>127</v>
      </c>
      <c r="D30" s="16" t="s">
        <v>115</v>
      </c>
      <c r="E30" s="16" t="s">
        <v>4</v>
      </c>
      <c r="F30" s="16" t="s">
        <v>5</v>
      </c>
    </row>
    <row r="31" spans="1:6" ht="15" x14ac:dyDescent="0.2">
      <c r="A31" s="2" t="s">
        <v>128</v>
      </c>
      <c r="B31" s="26">
        <v>1</v>
      </c>
      <c r="C31" s="13">
        <v>500000</v>
      </c>
      <c r="D31" s="27">
        <f>B31*C31</f>
        <v>500000</v>
      </c>
      <c r="E31" s="18" t="s">
        <v>19</v>
      </c>
      <c r="F31" s="24" t="s">
        <v>129</v>
      </c>
    </row>
    <row r="32" spans="1:6" ht="15" x14ac:dyDescent="0.2">
      <c r="A32" s="2" t="s">
        <v>130</v>
      </c>
      <c r="B32" s="26">
        <v>1</v>
      </c>
      <c r="C32" s="13">
        <v>300000</v>
      </c>
      <c r="D32" s="27">
        <f>B32*C32</f>
        <v>300000</v>
      </c>
      <c r="E32" s="4" t="s">
        <v>8</v>
      </c>
      <c r="F32" s="24" t="s">
        <v>131</v>
      </c>
    </row>
    <row r="33" spans="1:6" ht="15" x14ac:dyDescent="0.2">
      <c r="A33" s="2" t="s">
        <v>132</v>
      </c>
      <c r="B33" s="26">
        <v>1</v>
      </c>
      <c r="C33" s="13">
        <v>400000</v>
      </c>
      <c r="D33" s="27">
        <f>B33*C33</f>
        <v>400000</v>
      </c>
      <c r="E33" s="4" t="s">
        <v>133</v>
      </c>
      <c r="F33" s="24" t="s">
        <v>134</v>
      </c>
    </row>
    <row r="34" spans="1:6" ht="15" x14ac:dyDescent="0.2">
      <c r="A34" s="2" t="s">
        <v>135</v>
      </c>
      <c r="B34" s="24"/>
      <c r="C34" s="24"/>
      <c r="D34" s="27">
        <f>SUM(D31:D33)</f>
        <v>1200000</v>
      </c>
      <c r="E34" s="30" t="s">
        <v>136</v>
      </c>
      <c r="F34" s="24"/>
    </row>
    <row r="36" spans="1:6" ht="20.100000000000001" customHeight="1" x14ac:dyDescent="0.2">
      <c r="A36" s="85" t="s">
        <v>137</v>
      </c>
      <c r="B36" s="82"/>
      <c r="C36" s="82"/>
      <c r="D36" s="82"/>
      <c r="E36" s="82"/>
      <c r="F36" s="82"/>
    </row>
    <row r="37" spans="1:6" ht="27.95" customHeight="1" x14ac:dyDescent="0.2">
      <c r="A37" s="16" t="s">
        <v>125</v>
      </c>
      <c r="B37" s="16" t="s">
        <v>126</v>
      </c>
      <c r="C37" s="16" t="s">
        <v>127</v>
      </c>
      <c r="D37" s="16" t="s">
        <v>115</v>
      </c>
      <c r="E37" s="16" t="s">
        <v>4</v>
      </c>
      <c r="F37" s="16" t="s">
        <v>5</v>
      </c>
    </row>
    <row r="38" spans="1:6" ht="15" x14ac:dyDescent="0.2">
      <c r="A38" s="2" t="s">
        <v>138</v>
      </c>
      <c r="B38" s="26">
        <v>10</v>
      </c>
      <c r="C38" s="13">
        <v>15000</v>
      </c>
      <c r="D38" s="27">
        <f>B38*C38</f>
        <v>150000</v>
      </c>
      <c r="E38" s="4" t="s">
        <v>16</v>
      </c>
      <c r="F38" s="24" t="s">
        <v>139</v>
      </c>
    </row>
    <row r="39" spans="1:6" ht="15" x14ac:dyDescent="0.2">
      <c r="A39" s="2" t="s">
        <v>140</v>
      </c>
      <c r="B39" s="26">
        <v>1</v>
      </c>
      <c r="C39" s="13">
        <v>120000</v>
      </c>
      <c r="D39" s="27">
        <f>B39*C39</f>
        <v>120000</v>
      </c>
      <c r="E39" s="4" t="s">
        <v>16</v>
      </c>
      <c r="F39" s="24" t="s">
        <v>141</v>
      </c>
    </row>
    <row r="40" spans="1:6" ht="15" x14ac:dyDescent="0.2">
      <c r="A40" s="2" t="s">
        <v>142</v>
      </c>
      <c r="B40" s="26">
        <v>1</v>
      </c>
      <c r="C40" s="13">
        <v>400000</v>
      </c>
      <c r="D40" s="27">
        <f>B40*C40</f>
        <v>400000</v>
      </c>
      <c r="E40" s="4" t="s">
        <v>16</v>
      </c>
      <c r="F40" s="24" t="s">
        <v>143</v>
      </c>
    </row>
    <row r="41" spans="1:6" ht="15" x14ac:dyDescent="0.2">
      <c r="A41" s="2" t="s">
        <v>144</v>
      </c>
      <c r="B41" s="26">
        <v>1</v>
      </c>
      <c r="C41" s="13">
        <v>130000</v>
      </c>
      <c r="D41" s="27">
        <f>B41*C41</f>
        <v>130000</v>
      </c>
      <c r="E41" s="18" t="s">
        <v>19</v>
      </c>
      <c r="F41" s="24" t="s">
        <v>145</v>
      </c>
    </row>
    <row r="42" spans="1:6" ht="15" x14ac:dyDescent="0.2">
      <c r="A42" s="2" t="s">
        <v>135</v>
      </c>
      <c r="B42" s="24"/>
      <c r="C42" s="24"/>
      <c r="D42" s="27">
        <f>SUM(D38:D41)</f>
        <v>800000</v>
      </c>
      <c r="E42" s="30" t="s">
        <v>136</v>
      </c>
      <c r="F42" s="24"/>
    </row>
    <row r="44" spans="1:6" ht="20.100000000000001" customHeight="1" x14ac:dyDescent="0.2">
      <c r="A44" s="85" t="s">
        <v>146</v>
      </c>
      <c r="B44" s="82"/>
      <c r="C44" s="82"/>
      <c r="D44" s="82"/>
      <c r="E44" s="82"/>
      <c r="F44" s="82"/>
    </row>
    <row r="45" spans="1:6" ht="27.95" customHeight="1" x14ac:dyDescent="0.2">
      <c r="A45" s="16" t="s">
        <v>125</v>
      </c>
      <c r="B45" s="16" t="s">
        <v>126</v>
      </c>
      <c r="C45" s="16" t="s">
        <v>127</v>
      </c>
      <c r="D45" s="16" t="s">
        <v>115</v>
      </c>
      <c r="E45" s="16" t="s">
        <v>4</v>
      </c>
      <c r="F45" s="16" t="s">
        <v>5</v>
      </c>
    </row>
    <row r="46" spans="1:6" ht="15" x14ac:dyDescent="0.2">
      <c r="A46" s="2" t="s">
        <v>147</v>
      </c>
      <c r="B46" s="26">
        <v>1</v>
      </c>
      <c r="C46" s="13">
        <v>300000</v>
      </c>
      <c r="D46" s="27">
        <f>B46*C46</f>
        <v>300000</v>
      </c>
      <c r="E46" s="18" t="s">
        <v>19</v>
      </c>
      <c r="F46" s="24" t="s">
        <v>148</v>
      </c>
    </row>
    <row r="47" spans="1:6" ht="15" x14ac:dyDescent="0.2">
      <c r="A47" s="2" t="s">
        <v>149</v>
      </c>
      <c r="B47" s="26">
        <v>1</v>
      </c>
      <c r="C47" s="13">
        <v>200000</v>
      </c>
      <c r="D47" s="27">
        <f>B47*C47</f>
        <v>200000</v>
      </c>
      <c r="E47" s="18" t="s">
        <v>19</v>
      </c>
      <c r="F47" s="24" t="s">
        <v>150</v>
      </c>
    </row>
    <row r="48" spans="1:6" ht="15" x14ac:dyDescent="0.2">
      <c r="A48" s="2" t="s">
        <v>151</v>
      </c>
      <c r="B48" s="26">
        <v>1</v>
      </c>
      <c r="C48" s="13">
        <v>200000</v>
      </c>
      <c r="D48" s="27">
        <f>B48*C48</f>
        <v>200000</v>
      </c>
      <c r="E48" s="18" t="s">
        <v>19</v>
      </c>
      <c r="F48" s="24" t="s">
        <v>152</v>
      </c>
    </row>
    <row r="49" spans="1:6" ht="15" x14ac:dyDescent="0.2">
      <c r="A49" s="2" t="s">
        <v>135</v>
      </c>
      <c r="B49" s="24"/>
      <c r="C49" s="24"/>
      <c r="D49" s="27">
        <f>SUM(D46:D48)</f>
        <v>700000</v>
      </c>
      <c r="E49" s="30" t="s">
        <v>136</v>
      </c>
      <c r="F49" s="24"/>
    </row>
    <row r="51" spans="1:6" ht="27.95" customHeight="1" x14ac:dyDescent="0.2">
      <c r="A51" s="84" t="s">
        <v>153</v>
      </c>
      <c r="B51" s="79"/>
      <c r="C51" s="79"/>
      <c r="D51" s="79"/>
      <c r="E51" s="79"/>
      <c r="F51" s="79"/>
    </row>
    <row r="53" spans="1:6" x14ac:dyDescent="0.2">
      <c r="A53" s="87" t="s">
        <v>69</v>
      </c>
      <c r="B53" s="79"/>
      <c r="C53" s="79"/>
      <c r="D53" s="79"/>
      <c r="E53" s="79"/>
      <c r="F53" s="79"/>
    </row>
  </sheetData>
  <mergeCells count="10">
    <mergeCell ref="A1:F1"/>
    <mergeCell ref="A3:F3"/>
    <mergeCell ref="A21:F21"/>
    <mergeCell ref="A53:F53"/>
    <mergeCell ref="A29:F29"/>
    <mergeCell ref="A2:F2"/>
    <mergeCell ref="A11:F11"/>
    <mergeCell ref="A51:F51"/>
    <mergeCell ref="A36:F36"/>
    <mergeCell ref="A44:F44"/>
  </mergeCells>
  <hyperlinks>
    <hyperlink ref="E6" r:id="rId1" xr:uid="{00000000-0004-0000-0100-000000000000}"/>
    <hyperlink ref="E7" r:id="rId2" xr:uid="{00000000-0004-0000-0100-000001000000}"/>
    <hyperlink ref="C10" r:id="rId3" xr:uid="{00000000-0004-0000-0100-000002000000}"/>
    <hyperlink ref="E23" r:id="rId4" xr:uid="{00000000-0004-0000-0100-000003000000}"/>
    <hyperlink ref="E25" r:id="rId5" xr:uid="{00000000-0004-0000-0100-000004000000}"/>
    <hyperlink ref="E32" r:id="rId6" xr:uid="{00000000-0004-0000-0100-000005000000}"/>
    <hyperlink ref="E33" r:id="rId7" xr:uid="{00000000-0004-0000-0100-000006000000}"/>
    <hyperlink ref="E38" r:id="rId8" xr:uid="{00000000-0004-0000-0100-000007000000}"/>
    <hyperlink ref="E39" r:id="rId9" xr:uid="{00000000-0004-0000-0100-000008000000}"/>
    <hyperlink ref="E40" r:id="rId10" xr:uid="{00000000-0004-0000-0100-000009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showGridLines="0" zoomScaleNormal="100" workbookViewId="0">
      <pane ySplit="4" topLeftCell="A5" activePane="bottomLeft" state="frozen"/>
      <selection pane="bottomLeft"/>
    </sheetView>
  </sheetViews>
  <sheetFormatPr defaultRowHeight="14.25" customHeight="1" x14ac:dyDescent="0.2"/>
  <cols>
    <col min="1" max="1" width="24" customWidth="1"/>
    <col min="2" max="2" width="44" customWidth="1"/>
    <col min="3" max="3" width="11" customWidth="1"/>
    <col min="4" max="4" width="14" customWidth="1"/>
    <col min="5" max="5" width="36" customWidth="1"/>
    <col min="6" max="6" width="34" customWidth="1"/>
    <col min="7" max="7" width="26" customWidth="1"/>
    <col min="8" max="8" width="40" customWidth="1"/>
  </cols>
  <sheetData>
    <row r="1" spans="1:8" ht="30" customHeight="1" x14ac:dyDescent="0.2">
      <c r="A1" s="71" t="s">
        <v>154</v>
      </c>
      <c r="B1" s="72"/>
      <c r="C1" s="72"/>
      <c r="D1" s="72"/>
      <c r="E1" s="72"/>
      <c r="F1" s="72"/>
      <c r="G1" s="72"/>
      <c r="H1" s="72"/>
    </row>
    <row r="2" spans="1:8" ht="17.100000000000001" customHeight="1" x14ac:dyDescent="0.2">
      <c r="A2" s="78" t="s">
        <v>155</v>
      </c>
      <c r="B2" s="79"/>
      <c r="C2" s="79"/>
      <c r="D2" s="79"/>
      <c r="E2" s="79"/>
      <c r="F2" s="79"/>
      <c r="G2" s="79"/>
      <c r="H2" s="79"/>
    </row>
    <row r="4" spans="1:8" ht="27.95" customHeight="1" x14ac:dyDescent="0.2">
      <c r="A4" s="1" t="s">
        <v>156</v>
      </c>
      <c r="B4" s="1" t="s">
        <v>157</v>
      </c>
      <c r="C4" s="1" t="s">
        <v>158</v>
      </c>
      <c r="D4" s="1" t="s">
        <v>159</v>
      </c>
      <c r="E4" s="1" t="s">
        <v>160</v>
      </c>
      <c r="F4" s="1" t="s">
        <v>161</v>
      </c>
      <c r="G4" s="1" t="s">
        <v>4</v>
      </c>
      <c r="H4" s="1" t="s">
        <v>5</v>
      </c>
    </row>
    <row r="5" spans="1:8" ht="28.5" customHeight="1" x14ac:dyDescent="0.2">
      <c r="A5" s="2" t="s">
        <v>162</v>
      </c>
      <c r="B5" s="3" t="s">
        <v>163</v>
      </c>
      <c r="C5" s="4">
        <v>3</v>
      </c>
      <c r="D5" s="3" t="s">
        <v>164</v>
      </c>
      <c r="E5" s="3" t="s">
        <v>165</v>
      </c>
      <c r="F5" s="3" t="s">
        <v>166</v>
      </c>
      <c r="G5" s="4" t="s">
        <v>12</v>
      </c>
      <c r="H5" s="3" t="s">
        <v>167</v>
      </c>
    </row>
    <row r="6" spans="1:8" ht="28.5" customHeight="1" x14ac:dyDescent="0.2">
      <c r="A6" s="5" t="s">
        <v>168</v>
      </c>
      <c r="B6" s="6" t="s">
        <v>169</v>
      </c>
      <c r="C6" s="31">
        <v>5</v>
      </c>
      <c r="D6" s="6" t="s">
        <v>170</v>
      </c>
      <c r="E6" s="6" t="s">
        <v>171</v>
      </c>
      <c r="F6" s="6" t="s">
        <v>172</v>
      </c>
      <c r="G6" s="7" t="s">
        <v>19</v>
      </c>
      <c r="H6" s="6" t="s">
        <v>173</v>
      </c>
    </row>
    <row r="7" spans="1:8" ht="28.5" customHeight="1" x14ac:dyDescent="0.2">
      <c r="A7" s="15" t="s">
        <v>174</v>
      </c>
      <c r="B7" s="3" t="s">
        <v>175</v>
      </c>
      <c r="C7" s="4">
        <v>2</v>
      </c>
      <c r="D7" s="3" t="s">
        <v>176</v>
      </c>
      <c r="E7" s="3" t="s">
        <v>177</v>
      </c>
      <c r="F7" s="3" t="s">
        <v>178</v>
      </c>
      <c r="G7" s="4" t="s">
        <v>8</v>
      </c>
      <c r="H7" s="3" t="s">
        <v>179</v>
      </c>
    </row>
    <row r="8" spans="1:8" ht="25.5" x14ac:dyDescent="0.2">
      <c r="A8" s="5" t="s">
        <v>180</v>
      </c>
      <c r="B8" s="6" t="s">
        <v>181</v>
      </c>
      <c r="C8" s="31">
        <v>4</v>
      </c>
      <c r="D8" s="6" t="s">
        <v>182</v>
      </c>
      <c r="E8" s="6" t="s">
        <v>183</v>
      </c>
      <c r="F8" s="6" t="s">
        <v>184</v>
      </c>
      <c r="G8" s="7" t="s">
        <v>133</v>
      </c>
      <c r="H8" s="6" t="s">
        <v>185</v>
      </c>
    </row>
    <row r="9" spans="1:8" ht="15" customHeight="1" x14ac:dyDescent="0.2">
      <c r="A9" s="13" t="s">
        <v>186</v>
      </c>
      <c r="B9" s="13" t="s">
        <v>187</v>
      </c>
      <c r="C9" s="4">
        <v>4</v>
      </c>
      <c r="D9" s="13" t="s">
        <v>188</v>
      </c>
      <c r="E9" s="13" t="s">
        <v>189</v>
      </c>
      <c r="F9" s="13" t="s">
        <v>190</v>
      </c>
      <c r="G9" s="13" t="s">
        <v>19</v>
      </c>
      <c r="H9" s="13" t="s">
        <v>191</v>
      </c>
    </row>
    <row r="10" spans="1:8" ht="15" x14ac:dyDescent="0.25">
      <c r="A10" s="32" t="s">
        <v>192</v>
      </c>
      <c r="B10" s="32"/>
      <c r="C10" s="33">
        <f>SUM(C5:C9)</f>
        <v>18</v>
      </c>
      <c r="D10" s="32"/>
      <c r="E10" s="32"/>
      <c r="F10" s="32"/>
      <c r="G10" s="32"/>
      <c r="H10" s="32"/>
    </row>
    <row r="11" spans="1:8" ht="15" x14ac:dyDescent="0.2">
      <c r="A11" s="24" t="s">
        <v>193</v>
      </c>
    </row>
    <row r="12" spans="1:8" ht="30" customHeight="1" x14ac:dyDescent="0.2">
      <c r="A12" s="84" t="s">
        <v>194</v>
      </c>
      <c r="B12" s="79"/>
      <c r="C12" s="79"/>
      <c r="D12" s="79"/>
      <c r="E12" s="79"/>
      <c r="F12" s="79"/>
      <c r="G12" s="79"/>
      <c r="H12" s="79"/>
    </row>
    <row r="13" spans="1:8" x14ac:dyDescent="0.2">
      <c r="A13" s="28" t="s">
        <v>195</v>
      </c>
    </row>
    <row r="14" spans="1:8" x14ac:dyDescent="0.2">
      <c r="A14" s="87" t="s">
        <v>69</v>
      </c>
      <c r="B14" s="79"/>
      <c r="C14" s="79"/>
      <c r="D14" s="79"/>
      <c r="E14" s="79"/>
      <c r="F14" s="79"/>
      <c r="G14" s="79"/>
      <c r="H14" s="79"/>
    </row>
  </sheetData>
  <mergeCells count="4">
    <mergeCell ref="A12:H12"/>
    <mergeCell ref="A2:H2"/>
    <mergeCell ref="A14:H14"/>
    <mergeCell ref="A1:H1"/>
  </mergeCells>
  <hyperlinks>
    <hyperlink ref="G5" r:id="rId1" xr:uid="{00000000-0004-0000-0200-000000000000}"/>
    <hyperlink ref="G7" r:id="rId2" xr:uid="{00000000-0004-0000-0200-000001000000}"/>
    <hyperlink ref="G8" r:id="rId3" xr:uid="{00000000-0004-0000-0200-000002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ySplit="4" topLeftCell="A5" activePane="bottomLeft" state="frozen"/>
      <selection pane="bottomLeft" activeCell="A11" sqref="A11"/>
    </sheetView>
  </sheetViews>
  <sheetFormatPr defaultRowHeight="14.25" customHeight="1" x14ac:dyDescent="0.2"/>
  <cols>
    <col min="1" max="1" width="20" customWidth="1"/>
    <col min="2" max="2" width="24" customWidth="1"/>
    <col min="3" max="3" width="44" customWidth="1"/>
    <col min="4" max="4" width="22" customWidth="1"/>
    <col min="5" max="5" width="28" customWidth="1"/>
    <col min="6" max="6" width="44" customWidth="1"/>
  </cols>
  <sheetData>
    <row r="1" spans="1:6" ht="30" customHeight="1" x14ac:dyDescent="0.2">
      <c r="A1" s="71" t="s">
        <v>196</v>
      </c>
      <c r="B1" s="72"/>
      <c r="C1" s="72"/>
      <c r="D1" s="72"/>
      <c r="E1" s="72"/>
      <c r="F1" s="72"/>
    </row>
    <row r="2" spans="1:6" ht="18" customHeight="1" x14ac:dyDescent="0.2">
      <c r="A2" s="78" t="s">
        <v>197</v>
      </c>
      <c r="B2" s="79"/>
      <c r="C2" s="79"/>
      <c r="D2" s="79"/>
      <c r="E2" s="79"/>
      <c r="F2" s="79"/>
    </row>
    <row r="4" spans="1:6" ht="30" customHeight="1" x14ac:dyDescent="0.2">
      <c r="A4" s="1" t="s">
        <v>198</v>
      </c>
      <c r="B4" s="1" t="s">
        <v>199</v>
      </c>
      <c r="C4" s="1" t="s">
        <v>200</v>
      </c>
      <c r="D4" s="1" t="s">
        <v>201</v>
      </c>
      <c r="E4" s="1" t="s">
        <v>4</v>
      </c>
      <c r="F4" s="1" t="s">
        <v>202</v>
      </c>
    </row>
    <row r="5" spans="1:6" ht="28.5" customHeight="1" x14ac:dyDescent="0.2">
      <c r="A5" s="88" t="s">
        <v>203</v>
      </c>
      <c r="B5" s="3" t="s">
        <v>204</v>
      </c>
      <c r="C5" s="3" t="s">
        <v>205</v>
      </c>
      <c r="D5" s="3" t="s">
        <v>206</v>
      </c>
      <c r="E5" s="4" t="s">
        <v>207</v>
      </c>
      <c r="F5" s="3" t="s">
        <v>208</v>
      </c>
    </row>
    <row r="6" spans="1:6" ht="28.5" customHeight="1" x14ac:dyDescent="0.2">
      <c r="A6" s="89"/>
      <c r="B6" s="6" t="s">
        <v>209</v>
      </c>
      <c r="C6" s="6" t="s">
        <v>210</v>
      </c>
      <c r="D6" s="6" t="s">
        <v>211</v>
      </c>
      <c r="E6" s="7" t="s">
        <v>8</v>
      </c>
      <c r="F6" s="6" t="s">
        <v>212</v>
      </c>
    </row>
    <row r="7" spans="1:6" ht="28.5" customHeight="1" x14ac:dyDescent="0.2">
      <c r="A7" s="90"/>
      <c r="B7" s="3" t="s">
        <v>213</v>
      </c>
      <c r="C7" s="3" t="s">
        <v>214</v>
      </c>
      <c r="D7" s="3" t="s">
        <v>215</v>
      </c>
      <c r="E7" s="4" t="s">
        <v>8</v>
      </c>
      <c r="F7" s="3" t="s">
        <v>216</v>
      </c>
    </row>
    <row r="8" spans="1:6" ht="28.5" customHeight="1" x14ac:dyDescent="0.2">
      <c r="A8" s="88" t="s">
        <v>217</v>
      </c>
      <c r="B8" s="6" t="s">
        <v>218</v>
      </c>
      <c r="C8" s="6" t="s">
        <v>219</v>
      </c>
      <c r="D8" s="6" t="s">
        <v>220</v>
      </c>
      <c r="E8" s="7" t="s">
        <v>12</v>
      </c>
      <c r="F8" s="6" t="s">
        <v>221</v>
      </c>
    </row>
    <row r="9" spans="1:6" ht="28.5" customHeight="1" x14ac:dyDescent="0.2">
      <c r="A9" s="89"/>
      <c r="B9" s="3" t="s">
        <v>222</v>
      </c>
      <c r="C9" s="3" t="s">
        <v>223</v>
      </c>
      <c r="D9" s="3" t="s">
        <v>224</v>
      </c>
      <c r="E9" s="10" t="s">
        <v>19</v>
      </c>
      <c r="F9" s="3" t="s">
        <v>225</v>
      </c>
    </row>
    <row r="10" spans="1:6" ht="28.5" customHeight="1" x14ac:dyDescent="0.2">
      <c r="A10" s="90"/>
      <c r="B10" s="6" t="s">
        <v>226</v>
      </c>
      <c r="C10" s="6" t="s">
        <v>227</v>
      </c>
      <c r="D10" s="6" t="s">
        <v>228</v>
      </c>
      <c r="E10" s="7" t="s">
        <v>16</v>
      </c>
      <c r="F10" s="6" t="s">
        <v>229</v>
      </c>
    </row>
    <row r="11" spans="1:6" ht="28.5" customHeight="1" x14ac:dyDescent="0.2">
      <c r="A11" s="88" t="s">
        <v>230</v>
      </c>
      <c r="B11" s="3" t="s">
        <v>231</v>
      </c>
      <c r="C11" s="3" t="s">
        <v>232</v>
      </c>
      <c r="D11" s="3" t="s">
        <v>233</v>
      </c>
      <c r="E11" s="4" t="s">
        <v>133</v>
      </c>
      <c r="F11" s="3" t="s">
        <v>234</v>
      </c>
    </row>
    <row r="12" spans="1:6" ht="28.5" customHeight="1" x14ac:dyDescent="0.2">
      <c r="A12" s="89"/>
      <c r="B12" s="6" t="s">
        <v>235</v>
      </c>
      <c r="C12" s="6" t="s">
        <v>236</v>
      </c>
      <c r="D12" s="6" t="s">
        <v>237</v>
      </c>
      <c r="E12" s="7" t="s">
        <v>19</v>
      </c>
      <c r="F12" s="6" t="s">
        <v>238</v>
      </c>
    </row>
    <row r="13" spans="1:6" x14ac:dyDescent="0.2">
      <c r="A13" s="90"/>
      <c r="B13" s="3" t="s">
        <v>239</v>
      </c>
      <c r="C13" s="3" t="s">
        <v>240</v>
      </c>
      <c r="D13" s="3" t="s">
        <v>186</v>
      </c>
      <c r="E13" s="10" t="s">
        <v>19</v>
      </c>
      <c r="F13" s="3" t="s">
        <v>241</v>
      </c>
    </row>
    <row r="15" spans="1:6" x14ac:dyDescent="0.2">
      <c r="A15" s="91" t="s">
        <v>195</v>
      </c>
      <c r="B15" s="74"/>
      <c r="C15" s="74"/>
      <c r="D15" s="74"/>
      <c r="E15" s="74"/>
      <c r="F15" s="75"/>
    </row>
  </sheetData>
  <mergeCells count="6">
    <mergeCell ref="A15:F15"/>
    <mergeCell ref="A2:F2"/>
    <mergeCell ref="A8:A10"/>
    <mergeCell ref="A1:F1"/>
    <mergeCell ref="A11:A13"/>
    <mergeCell ref="A5:A7"/>
  </mergeCells>
  <hyperlinks>
    <hyperlink ref="E5" r:id="rId1" xr:uid="{00000000-0004-0000-0300-000000000000}"/>
    <hyperlink ref="E6" r:id="rId2" xr:uid="{00000000-0004-0000-0300-000001000000}"/>
    <hyperlink ref="E7" r:id="rId3" xr:uid="{00000000-0004-0000-0300-000002000000}"/>
    <hyperlink ref="E8" r:id="rId4" xr:uid="{00000000-0004-0000-0300-000003000000}"/>
    <hyperlink ref="E10" r:id="rId5" xr:uid="{00000000-0004-0000-0300-000004000000}"/>
    <hyperlink ref="E11" r:id="rId6" xr:uid="{00000000-0004-0000-0300-000005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showGridLines="0" zoomScaleNormal="100" workbookViewId="0">
      <pane ySplit="4" topLeftCell="A5" activePane="bottomLeft" state="frozen"/>
      <selection pane="bottomLeft"/>
    </sheetView>
  </sheetViews>
  <sheetFormatPr defaultRowHeight="14.25" customHeight="1" x14ac:dyDescent="0.2"/>
  <cols>
    <col min="1" max="1" width="4" customWidth="1"/>
    <col min="2" max="2" width="26" customWidth="1"/>
    <col min="3" max="3" width="40" customWidth="1"/>
    <col min="4" max="4" width="11" customWidth="1"/>
    <col min="5" max="5" width="12" customWidth="1"/>
    <col min="6" max="6" width="8" customWidth="1"/>
    <col min="7" max="7" width="44" customWidth="1"/>
    <col min="8" max="8" width="20" customWidth="1"/>
    <col min="9" max="9" width="28" customWidth="1"/>
    <col min="10" max="10" width="22" customWidth="1"/>
  </cols>
  <sheetData>
    <row r="1" spans="1:10" ht="30" customHeight="1" x14ac:dyDescent="0.2">
      <c r="A1" s="71" t="s">
        <v>242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7.100000000000001" customHeight="1" x14ac:dyDescent="0.2">
      <c r="A2" s="78" t="s">
        <v>243</v>
      </c>
      <c r="B2" s="79"/>
      <c r="C2" s="79"/>
      <c r="D2" s="79"/>
      <c r="E2" s="79"/>
      <c r="F2" s="79"/>
      <c r="G2" s="79"/>
      <c r="H2" s="79"/>
      <c r="I2" s="79"/>
      <c r="J2" s="79"/>
    </row>
    <row r="4" spans="1:10" ht="27.95" customHeight="1" x14ac:dyDescent="0.2">
      <c r="A4" s="1" t="s">
        <v>244</v>
      </c>
      <c r="B4" s="1" t="s">
        <v>245</v>
      </c>
      <c r="C4" s="1" t="s">
        <v>246</v>
      </c>
      <c r="D4" s="1" t="s">
        <v>247</v>
      </c>
      <c r="E4" s="1" t="s">
        <v>248</v>
      </c>
      <c r="F4" s="1" t="s">
        <v>249</v>
      </c>
      <c r="G4" s="1" t="s">
        <v>250</v>
      </c>
      <c r="H4" s="1" t="s">
        <v>251</v>
      </c>
      <c r="I4" s="1" t="s">
        <v>4</v>
      </c>
      <c r="J4" s="1" t="s">
        <v>252</v>
      </c>
    </row>
    <row r="5" spans="1:10" ht="28.5" customHeight="1" x14ac:dyDescent="0.2">
      <c r="A5" s="4">
        <v>1</v>
      </c>
      <c r="B5" s="2" t="s">
        <v>222</v>
      </c>
      <c r="C5" s="3" t="s">
        <v>253</v>
      </c>
      <c r="D5" s="34" t="s">
        <v>254</v>
      </c>
      <c r="E5" s="35" t="s">
        <v>255</v>
      </c>
      <c r="F5" s="36">
        <v>6</v>
      </c>
      <c r="G5" s="3" t="s">
        <v>256</v>
      </c>
      <c r="H5" s="3" t="s">
        <v>257</v>
      </c>
      <c r="I5" s="10" t="s">
        <v>19</v>
      </c>
      <c r="J5" s="3" t="s">
        <v>258</v>
      </c>
    </row>
    <row r="6" spans="1:10" ht="28.5" customHeight="1" x14ac:dyDescent="0.2">
      <c r="A6" s="31">
        <v>2</v>
      </c>
      <c r="B6" s="5" t="s">
        <v>259</v>
      </c>
      <c r="C6" s="6" t="s">
        <v>260</v>
      </c>
      <c r="D6" s="35" t="s">
        <v>255</v>
      </c>
      <c r="E6" s="35" t="s">
        <v>255</v>
      </c>
      <c r="F6" s="37">
        <v>4</v>
      </c>
      <c r="G6" s="6" t="s">
        <v>261</v>
      </c>
      <c r="H6" s="6" t="s">
        <v>262</v>
      </c>
      <c r="I6" s="7" t="s">
        <v>16</v>
      </c>
      <c r="J6" s="6" t="s">
        <v>258</v>
      </c>
    </row>
    <row r="7" spans="1:10" ht="28.5" customHeight="1" x14ac:dyDescent="0.2">
      <c r="A7" s="4">
        <v>3</v>
      </c>
      <c r="B7" s="2" t="s">
        <v>263</v>
      </c>
      <c r="C7" s="3" t="s">
        <v>264</v>
      </c>
      <c r="D7" s="35" t="s">
        <v>255</v>
      </c>
      <c r="E7" s="38" t="s">
        <v>265</v>
      </c>
      <c r="F7" s="39">
        <v>2</v>
      </c>
      <c r="G7" s="3" t="s">
        <v>266</v>
      </c>
      <c r="H7" s="3" t="s">
        <v>267</v>
      </c>
      <c r="I7" s="4" t="s">
        <v>8</v>
      </c>
      <c r="J7" s="3" t="s">
        <v>268</v>
      </c>
    </row>
    <row r="8" spans="1:10" ht="28.5" customHeight="1" x14ac:dyDescent="0.2">
      <c r="A8" s="31">
        <v>4</v>
      </c>
      <c r="B8" s="5" t="s">
        <v>269</v>
      </c>
      <c r="C8" s="6" t="s">
        <v>270</v>
      </c>
      <c r="D8" s="35" t="s">
        <v>255</v>
      </c>
      <c r="E8" s="38" t="s">
        <v>265</v>
      </c>
      <c r="F8" s="39">
        <v>2</v>
      </c>
      <c r="G8" s="6" t="s">
        <v>271</v>
      </c>
      <c r="H8" s="6" t="s">
        <v>272</v>
      </c>
      <c r="I8" s="7" t="s">
        <v>12</v>
      </c>
      <c r="J8" s="6" t="s">
        <v>273</v>
      </c>
    </row>
    <row r="9" spans="1:10" ht="28.5" customHeight="1" x14ac:dyDescent="0.2">
      <c r="A9" s="4">
        <v>5</v>
      </c>
      <c r="B9" s="2" t="s">
        <v>274</v>
      </c>
      <c r="C9" s="3" t="s">
        <v>275</v>
      </c>
      <c r="D9" s="38" t="s">
        <v>265</v>
      </c>
      <c r="E9" s="38" t="s">
        <v>265</v>
      </c>
      <c r="F9" s="39">
        <v>1</v>
      </c>
      <c r="G9" s="3" t="s">
        <v>276</v>
      </c>
      <c r="H9" s="3" t="s">
        <v>277</v>
      </c>
      <c r="I9" s="4" t="s">
        <v>133</v>
      </c>
      <c r="J9" s="3" t="s">
        <v>278</v>
      </c>
    </row>
    <row r="11" spans="1:10" x14ac:dyDescent="0.2">
      <c r="A11" s="92" t="s">
        <v>279</v>
      </c>
      <c r="B11" s="79"/>
      <c r="C11" s="79"/>
      <c r="D11" s="79"/>
      <c r="E11" s="79"/>
      <c r="F11" s="79"/>
      <c r="G11" s="79"/>
      <c r="H11" s="79"/>
      <c r="I11" s="79"/>
      <c r="J11" s="79"/>
    </row>
    <row r="13" spans="1:10" x14ac:dyDescent="0.2">
      <c r="A13" s="91" t="s">
        <v>69</v>
      </c>
      <c r="B13" s="74"/>
      <c r="C13" s="74"/>
      <c r="D13" s="74"/>
      <c r="E13" s="74"/>
      <c r="F13" s="74"/>
      <c r="G13" s="74"/>
      <c r="H13" s="74"/>
      <c r="I13" s="74"/>
      <c r="J13" s="75"/>
    </row>
  </sheetData>
  <mergeCells count="4">
    <mergeCell ref="A1:J1"/>
    <mergeCell ref="A2:J2"/>
    <mergeCell ref="A13:J13"/>
    <mergeCell ref="A11:J11"/>
  </mergeCells>
  <hyperlinks>
    <hyperlink ref="I6" r:id="rId1" xr:uid="{00000000-0004-0000-0400-000000000000}"/>
    <hyperlink ref="I7" r:id="rId2" xr:uid="{00000000-0004-0000-0400-000001000000}"/>
    <hyperlink ref="I8" r:id="rId3" xr:uid="{00000000-0004-0000-0400-000002000000}"/>
    <hyperlink ref="I9" r:id="rId4" xr:uid="{00000000-0004-0000-0400-000003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4"/>
  <sheetViews>
    <sheetView showGridLines="0" zoomScaleNormal="100" workbookViewId="0">
      <pane ySplit="2" topLeftCell="A3" activePane="bottomLeft" state="frozen"/>
      <selection pane="bottomLeft"/>
    </sheetView>
  </sheetViews>
  <sheetFormatPr defaultRowHeight="14.25" x14ac:dyDescent="0.2"/>
  <cols>
    <col min="1" max="1" width="38" customWidth="1"/>
    <col min="2" max="2" width="17" customWidth="1"/>
    <col min="3" max="3" width="16" customWidth="1"/>
    <col min="4" max="4" width="15" customWidth="1"/>
    <col min="5" max="5" width="30" customWidth="1"/>
    <col min="6" max="6" width="50" customWidth="1"/>
  </cols>
  <sheetData>
    <row r="1" spans="1:6" ht="30" customHeight="1" x14ac:dyDescent="0.2">
      <c r="A1" s="93" t="s">
        <v>280</v>
      </c>
      <c r="B1" s="72"/>
      <c r="C1" s="72"/>
      <c r="D1" s="72"/>
      <c r="E1" s="72"/>
      <c r="F1" s="72"/>
    </row>
    <row r="2" spans="1:6" ht="27.95" customHeight="1" x14ac:dyDescent="0.2">
      <c r="A2" s="80" t="s">
        <v>281</v>
      </c>
      <c r="B2" s="79"/>
      <c r="C2" s="79"/>
      <c r="D2" s="79"/>
      <c r="E2" s="79"/>
      <c r="F2" s="79"/>
    </row>
    <row r="4" spans="1:6" ht="21.95" customHeight="1" x14ac:dyDescent="0.2">
      <c r="A4" s="77" t="s">
        <v>282</v>
      </c>
      <c r="B4" s="74"/>
      <c r="C4" s="74"/>
      <c r="D4" s="74"/>
      <c r="E4" s="74"/>
      <c r="F4" s="75"/>
    </row>
    <row r="5" spans="1:6" ht="24" customHeight="1" x14ac:dyDescent="0.2">
      <c r="A5" s="16" t="s">
        <v>2</v>
      </c>
      <c r="B5" s="16" t="s">
        <v>283</v>
      </c>
      <c r="C5" s="16" t="s">
        <v>284</v>
      </c>
      <c r="D5" s="16"/>
      <c r="E5" s="16" t="s">
        <v>4</v>
      </c>
      <c r="F5" s="16" t="s">
        <v>5</v>
      </c>
    </row>
    <row r="6" spans="1:6" ht="24" customHeight="1" x14ac:dyDescent="0.2">
      <c r="A6" s="4" t="s">
        <v>285</v>
      </c>
      <c r="B6" s="40">
        <f>B44</f>
        <v>40875000</v>
      </c>
      <c r="C6" s="40">
        <f>C44</f>
        <v>67125000</v>
      </c>
      <c r="D6" s="4"/>
      <c r="E6" s="19" t="s">
        <v>286</v>
      </c>
      <c r="F6" s="18" t="s">
        <v>287</v>
      </c>
    </row>
    <row r="7" spans="1:6" ht="24" customHeight="1" x14ac:dyDescent="0.2">
      <c r="A7" s="4" t="s">
        <v>288</v>
      </c>
      <c r="B7" s="40">
        <f>B45</f>
        <v>26568750</v>
      </c>
      <c r="C7" s="40">
        <f>C45</f>
        <v>42318750</v>
      </c>
      <c r="D7" s="4"/>
      <c r="E7" s="19" t="s">
        <v>289</v>
      </c>
      <c r="F7" s="18" t="s">
        <v>290</v>
      </c>
    </row>
    <row r="8" spans="1:6" ht="24" customHeight="1" x14ac:dyDescent="0.2">
      <c r="A8" s="4" t="s">
        <v>291</v>
      </c>
      <c r="B8" s="40">
        <f>B47</f>
        <v>13610625</v>
      </c>
      <c r="C8" s="40">
        <f>C47</f>
        <v>29360625</v>
      </c>
      <c r="D8" s="4"/>
      <c r="E8" s="19" t="s">
        <v>292</v>
      </c>
      <c r="F8" s="18" t="s">
        <v>293</v>
      </c>
    </row>
    <row r="9" spans="1:6" ht="24" customHeight="1" x14ac:dyDescent="0.2">
      <c r="A9" s="4" t="s">
        <v>294</v>
      </c>
      <c r="B9" s="41">
        <f>B48</f>
        <v>1.8903645833333333</v>
      </c>
      <c r="C9" s="41">
        <f>C48</f>
        <v>4.0778645833333336</v>
      </c>
      <c r="D9" s="4"/>
      <c r="E9" s="19" t="s">
        <v>295</v>
      </c>
      <c r="F9" s="18" t="s">
        <v>296</v>
      </c>
    </row>
    <row r="10" spans="1:6" ht="24" customHeight="1" x14ac:dyDescent="0.2">
      <c r="A10" s="4" t="s">
        <v>297</v>
      </c>
      <c r="B10" s="42">
        <v>16</v>
      </c>
      <c r="C10" s="43" t="s">
        <v>298</v>
      </c>
      <c r="D10" s="4"/>
      <c r="E10" s="19" t="s">
        <v>299</v>
      </c>
      <c r="F10" s="18" t="s">
        <v>300</v>
      </c>
    </row>
    <row r="12" spans="1:6" ht="21.95" customHeight="1" x14ac:dyDescent="0.2">
      <c r="A12" s="77" t="s">
        <v>301</v>
      </c>
      <c r="B12" s="74"/>
      <c r="C12" s="74"/>
      <c r="D12" s="74"/>
      <c r="E12" s="74"/>
      <c r="F12" s="75"/>
    </row>
    <row r="13" spans="1:6" ht="24" customHeight="1" x14ac:dyDescent="0.2">
      <c r="A13" s="16" t="s">
        <v>86</v>
      </c>
      <c r="B13" s="16" t="s">
        <v>3</v>
      </c>
      <c r="C13" s="16" t="s">
        <v>87</v>
      </c>
      <c r="D13" s="16"/>
      <c r="E13" s="16" t="s">
        <v>4</v>
      </c>
      <c r="F13" s="16" t="s">
        <v>5</v>
      </c>
    </row>
    <row r="14" spans="1:6" ht="24" customHeight="1" x14ac:dyDescent="0.2">
      <c r="A14" s="4" t="s">
        <v>302</v>
      </c>
      <c r="B14" s="44">
        <v>15000</v>
      </c>
      <c r="C14" s="45" t="s">
        <v>303</v>
      </c>
      <c r="D14" s="4"/>
      <c r="E14" s="19" t="s">
        <v>304</v>
      </c>
      <c r="F14" s="18" t="s">
        <v>305</v>
      </c>
    </row>
    <row r="15" spans="1:6" ht="24" customHeight="1" x14ac:dyDescent="0.2">
      <c r="A15" s="4" t="s">
        <v>306</v>
      </c>
      <c r="B15" s="46">
        <v>1500</v>
      </c>
      <c r="C15" s="45" t="s">
        <v>307</v>
      </c>
      <c r="D15" s="4"/>
      <c r="E15" s="19" t="s">
        <v>308</v>
      </c>
      <c r="F15" s="18" t="s">
        <v>309</v>
      </c>
    </row>
    <row r="16" spans="1:6" ht="24" customHeight="1" x14ac:dyDescent="0.2">
      <c r="A16" s="4" t="s">
        <v>310</v>
      </c>
      <c r="B16" s="47">
        <v>0.3</v>
      </c>
      <c r="C16" s="45" t="s">
        <v>311</v>
      </c>
      <c r="D16" s="4"/>
      <c r="E16" s="19" t="s">
        <v>312</v>
      </c>
      <c r="F16" s="18" t="s">
        <v>313</v>
      </c>
    </row>
    <row r="17" spans="1:6" ht="24" customHeight="1" x14ac:dyDescent="0.2">
      <c r="A17" s="4" t="s">
        <v>314</v>
      </c>
      <c r="B17" s="47">
        <v>0.4</v>
      </c>
      <c r="C17" s="45" t="s">
        <v>311</v>
      </c>
      <c r="D17" s="4"/>
      <c r="E17" s="19" t="s">
        <v>312</v>
      </c>
      <c r="F17" s="18" t="s">
        <v>315</v>
      </c>
    </row>
    <row r="18" spans="1:6" ht="24" customHeight="1" x14ac:dyDescent="0.2">
      <c r="A18" s="4" t="s">
        <v>316</v>
      </c>
      <c r="B18" s="47">
        <v>0.5</v>
      </c>
      <c r="C18" s="45" t="s">
        <v>311</v>
      </c>
      <c r="D18" s="4"/>
      <c r="E18" s="19" t="s">
        <v>312</v>
      </c>
      <c r="F18" s="18" t="s">
        <v>317</v>
      </c>
    </row>
    <row r="19" spans="1:6" ht="24" customHeight="1" x14ac:dyDescent="0.2">
      <c r="A19" s="4" t="s">
        <v>318</v>
      </c>
      <c r="B19" s="46">
        <v>925</v>
      </c>
      <c r="C19" s="45" t="s">
        <v>319</v>
      </c>
      <c r="D19" s="4"/>
      <c r="E19" s="19" t="s">
        <v>312</v>
      </c>
      <c r="F19" s="18" t="s">
        <v>320</v>
      </c>
    </row>
    <row r="20" spans="1:6" ht="24" customHeight="1" x14ac:dyDescent="0.2">
      <c r="A20" s="4" t="s">
        <v>321</v>
      </c>
      <c r="B20" s="47">
        <v>0.65</v>
      </c>
      <c r="C20" s="45" t="s">
        <v>311</v>
      </c>
      <c r="D20" s="4"/>
      <c r="E20" s="19" t="s">
        <v>322</v>
      </c>
      <c r="F20" s="18" t="s">
        <v>323</v>
      </c>
    </row>
    <row r="21" spans="1:6" ht="24" customHeight="1" x14ac:dyDescent="0.2">
      <c r="A21" s="4" t="s">
        <v>324</v>
      </c>
      <c r="B21" s="47">
        <v>0.6</v>
      </c>
      <c r="C21" s="45" t="s">
        <v>311</v>
      </c>
      <c r="D21" s="4"/>
      <c r="E21" s="19" t="s">
        <v>325</v>
      </c>
      <c r="F21" s="18" t="s">
        <v>326</v>
      </c>
    </row>
    <row r="22" spans="1:6" ht="24" customHeight="1" x14ac:dyDescent="0.2">
      <c r="A22" s="4" t="s">
        <v>327</v>
      </c>
      <c r="B22" s="40">
        <f>'2 · Investment'!B9</f>
        <v>7200000</v>
      </c>
      <c r="C22" s="45" t="s">
        <v>328</v>
      </c>
      <c r="D22" s="4"/>
      <c r="E22" s="19" t="s">
        <v>329</v>
      </c>
      <c r="F22" s="18" t="s">
        <v>330</v>
      </c>
    </row>
    <row r="23" spans="1:6" ht="24" customHeight="1" x14ac:dyDescent="0.2">
      <c r="A23" s="4" t="s">
        <v>331</v>
      </c>
      <c r="B23" s="48">
        <v>3</v>
      </c>
      <c r="C23" s="45" t="s">
        <v>106</v>
      </c>
      <c r="D23" s="4"/>
      <c r="E23" s="19" t="s">
        <v>332</v>
      </c>
      <c r="F23" s="18" t="s">
        <v>333</v>
      </c>
    </row>
    <row r="24" spans="1:6" ht="24" customHeight="1" x14ac:dyDescent="0.2">
      <c r="A24" s="4" t="s">
        <v>334</v>
      </c>
      <c r="B24" s="46">
        <v>25</v>
      </c>
      <c r="C24" s="45" t="s">
        <v>335</v>
      </c>
      <c r="D24" s="4"/>
      <c r="E24" s="19" t="s">
        <v>336</v>
      </c>
      <c r="F24" s="18" t="s">
        <v>337</v>
      </c>
    </row>
    <row r="25" spans="1:6" ht="24" customHeight="1" x14ac:dyDescent="0.2">
      <c r="A25" s="4" t="s">
        <v>338</v>
      </c>
      <c r="B25" s="44">
        <v>350000</v>
      </c>
      <c r="C25" s="45" t="s">
        <v>339</v>
      </c>
      <c r="D25" s="4"/>
      <c r="E25" s="19" t="s">
        <v>312</v>
      </c>
      <c r="F25" s="18" t="s">
        <v>340</v>
      </c>
    </row>
    <row r="27" spans="1:6" ht="21.95" customHeight="1" x14ac:dyDescent="0.2">
      <c r="A27" s="77" t="s">
        <v>341</v>
      </c>
      <c r="B27" s="74"/>
      <c r="C27" s="74"/>
      <c r="D27" s="74"/>
      <c r="E27" s="74"/>
      <c r="F27" s="75"/>
    </row>
    <row r="28" spans="1:6" ht="24" customHeight="1" x14ac:dyDescent="0.2">
      <c r="A28" s="16" t="s">
        <v>342</v>
      </c>
      <c r="B28" s="16" t="s">
        <v>343</v>
      </c>
      <c r="C28" s="16" t="s">
        <v>344</v>
      </c>
      <c r="D28" s="16" t="s">
        <v>345</v>
      </c>
      <c r="E28" s="16" t="s">
        <v>346</v>
      </c>
      <c r="F28" s="16" t="s">
        <v>5</v>
      </c>
    </row>
    <row r="29" spans="1:6" ht="21.95" customHeight="1" x14ac:dyDescent="0.2">
      <c r="A29" s="4" t="s">
        <v>347</v>
      </c>
      <c r="B29" s="49">
        <f>$B$15</f>
        <v>1500</v>
      </c>
      <c r="C29" s="50">
        <f>B16</f>
        <v>0.3</v>
      </c>
      <c r="D29" s="49">
        <f>B29*C29</f>
        <v>450</v>
      </c>
      <c r="E29" s="51">
        <f>D29*$B$14</f>
        <v>6750000</v>
      </c>
      <c r="F29" s="18" t="s">
        <v>348</v>
      </c>
    </row>
    <row r="30" spans="1:6" ht="21.95" customHeight="1" x14ac:dyDescent="0.2">
      <c r="A30" s="4" t="s">
        <v>349</v>
      </c>
      <c r="B30" s="49">
        <f>$B$15</f>
        <v>1500</v>
      </c>
      <c r="C30" s="50">
        <f>B17</f>
        <v>0.4</v>
      </c>
      <c r="D30" s="49">
        <f>B30*C30</f>
        <v>600</v>
      </c>
      <c r="E30" s="51">
        <f>D30*$B$14</f>
        <v>9000000</v>
      </c>
      <c r="F30" s="18" t="s">
        <v>315</v>
      </c>
    </row>
    <row r="31" spans="1:6" ht="21.95" customHeight="1" x14ac:dyDescent="0.2">
      <c r="A31" s="4" t="s">
        <v>350</v>
      </c>
      <c r="B31" s="49">
        <f>$B$15</f>
        <v>1500</v>
      </c>
      <c r="C31" s="50">
        <f>B18</f>
        <v>0.5</v>
      </c>
      <c r="D31" s="49">
        <f>B31*C31</f>
        <v>750</v>
      </c>
      <c r="E31" s="51">
        <f>D31*$B$14</f>
        <v>11250000</v>
      </c>
      <c r="F31" s="18" t="s">
        <v>351</v>
      </c>
    </row>
    <row r="32" spans="1:6" ht="21.95" customHeight="1" x14ac:dyDescent="0.2">
      <c r="A32" s="4" t="s">
        <v>135</v>
      </c>
      <c r="B32" s="52"/>
      <c r="C32" s="52"/>
      <c r="D32" s="42">
        <f>SUM(D29:D31)</f>
        <v>1800</v>
      </c>
      <c r="E32" s="40">
        <f>SUM(E29:E31)</f>
        <v>27000000</v>
      </c>
      <c r="F32" s="18" t="s">
        <v>352</v>
      </c>
    </row>
    <row r="34" spans="1:6" ht="21.95" customHeight="1" x14ac:dyDescent="0.2">
      <c r="A34" s="77" t="s">
        <v>353</v>
      </c>
      <c r="B34" s="74"/>
      <c r="C34" s="74"/>
      <c r="D34" s="74"/>
      <c r="E34" s="74"/>
      <c r="F34" s="75"/>
    </row>
    <row r="35" spans="1:6" ht="24" customHeight="1" x14ac:dyDescent="0.2">
      <c r="A35" s="16" t="s">
        <v>354</v>
      </c>
      <c r="B35" s="16"/>
      <c r="C35" s="16" t="s">
        <v>345</v>
      </c>
      <c r="D35" s="16" t="s">
        <v>346</v>
      </c>
      <c r="E35" s="16" t="s">
        <v>4</v>
      </c>
      <c r="F35" s="16" t="s">
        <v>5</v>
      </c>
    </row>
    <row r="36" spans="1:6" ht="21.95" customHeight="1" x14ac:dyDescent="0.2">
      <c r="A36" s="4" t="s">
        <v>355</v>
      </c>
      <c r="B36" s="4"/>
      <c r="C36" s="49">
        <f>D32</f>
        <v>1800</v>
      </c>
      <c r="D36" s="51">
        <f>E32</f>
        <v>27000000</v>
      </c>
      <c r="E36" s="19" t="s">
        <v>356</v>
      </c>
      <c r="F36" s="18" t="s">
        <v>357</v>
      </c>
    </row>
    <row r="37" spans="1:6" ht="21.95" customHeight="1" x14ac:dyDescent="0.2">
      <c r="A37" s="4" t="s">
        <v>358</v>
      </c>
      <c r="B37" s="4"/>
      <c r="C37" s="49">
        <f>$B$19</f>
        <v>925</v>
      </c>
      <c r="D37" s="51">
        <f>$B$19*$B$14</f>
        <v>13875000</v>
      </c>
      <c r="E37" s="19" t="s">
        <v>312</v>
      </c>
      <c r="F37" s="18" t="s">
        <v>359</v>
      </c>
    </row>
    <row r="38" spans="1:6" ht="21.95" customHeight="1" x14ac:dyDescent="0.2">
      <c r="A38" s="4" t="s">
        <v>360</v>
      </c>
      <c r="B38" s="52"/>
      <c r="C38" s="42">
        <f>C36+C37</f>
        <v>2725</v>
      </c>
      <c r="D38" s="40">
        <f>D36+D37</f>
        <v>40875000</v>
      </c>
      <c r="E38" s="19"/>
      <c r="F38" s="18" t="s">
        <v>361</v>
      </c>
    </row>
    <row r="40" spans="1:6" ht="21.95" customHeight="1" x14ac:dyDescent="0.2">
      <c r="A40" s="77" t="s">
        <v>362</v>
      </c>
      <c r="B40" s="74"/>
      <c r="C40" s="74"/>
      <c r="D40" s="74"/>
      <c r="E40" s="74"/>
      <c r="F40" s="75"/>
    </row>
    <row r="41" spans="1:6" ht="24" customHeight="1" x14ac:dyDescent="0.2">
      <c r="A41" s="16" t="s">
        <v>363</v>
      </c>
      <c r="B41" s="16" t="s">
        <v>283</v>
      </c>
      <c r="C41" s="16" t="s">
        <v>284</v>
      </c>
      <c r="D41" s="16"/>
      <c r="E41" s="16" t="s">
        <v>4</v>
      </c>
      <c r="F41" s="16" t="s">
        <v>5</v>
      </c>
    </row>
    <row r="42" spans="1:6" ht="21.95" customHeight="1" x14ac:dyDescent="0.2">
      <c r="A42" s="4" t="s">
        <v>364</v>
      </c>
      <c r="B42" s="51">
        <f>D38</f>
        <v>40875000</v>
      </c>
      <c r="C42" s="51">
        <f>D38</f>
        <v>40875000</v>
      </c>
      <c r="D42" s="4"/>
      <c r="E42" s="19" t="s">
        <v>365</v>
      </c>
      <c r="F42" s="18" t="s">
        <v>366</v>
      </c>
    </row>
    <row r="43" spans="1:6" ht="21.95" customHeight="1" x14ac:dyDescent="0.2">
      <c r="A43" s="4" t="s">
        <v>367</v>
      </c>
      <c r="B43" s="51">
        <v>0</v>
      </c>
      <c r="C43" s="51">
        <f>$B$23*$B$24*$B$25</f>
        <v>26250000</v>
      </c>
      <c r="D43" s="4"/>
      <c r="E43" s="19" t="s">
        <v>368</v>
      </c>
      <c r="F43" s="18" t="s">
        <v>369</v>
      </c>
    </row>
    <row r="44" spans="1:6" ht="21.95" customHeight="1" x14ac:dyDescent="0.2">
      <c r="A44" s="4" t="s">
        <v>370</v>
      </c>
      <c r="B44" s="40">
        <f>B42+B43</f>
        <v>40875000</v>
      </c>
      <c r="C44" s="40">
        <f>C42+C43</f>
        <v>67125000</v>
      </c>
      <c r="D44" s="4"/>
      <c r="E44" s="19"/>
      <c r="F44" s="18" t="s">
        <v>371</v>
      </c>
    </row>
    <row r="45" spans="1:6" ht="21.95" customHeight="1" x14ac:dyDescent="0.2">
      <c r="A45" s="4" t="s">
        <v>288</v>
      </c>
      <c r="B45" s="51">
        <f>D38*$B$20</f>
        <v>26568750</v>
      </c>
      <c r="C45" s="51">
        <f>D38*$B$20+C43*$B$21</f>
        <v>42318750</v>
      </c>
      <c r="D45" s="4"/>
      <c r="E45" s="19" t="s">
        <v>372</v>
      </c>
      <c r="F45" s="18" t="s">
        <v>373</v>
      </c>
    </row>
    <row r="46" spans="1:6" ht="21.95" customHeight="1" x14ac:dyDescent="0.2">
      <c r="A46" s="4" t="s">
        <v>327</v>
      </c>
      <c r="B46" s="51">
        <f>-$B$22</f>
        <v>-7200000</v>
      </c>
      <c r="C46" s="51">
        <f>-$B$22</f>
        <v>-7200000</v>
      </c>
      <c r="D46" s="4"/>
      <c r="E46" s="19" t="s">
        <v>374</v>
      </c>
      <c r="F46" s="18" t="s">
        <v>375</v>
      </c>
    </row>
    <row r="47" spans="1:6" ht="21.95" customHeight="1" x14ac:dyDescent="0.2">
      <c r="A47" s="4" t="s">
        <v>291</v>
      </c>
      <c r="B47" s="40">
        <f>B45+B60+B46</f>
        <v>13610625</v>
      </c>
      <c r="C47" s="40">
        <f>C45+B60+C46</f>
        <v>29360625</v>
      </c>
      <c r="D47" s="4"/>
      <c r="E47" s="19"/>
      <c r="F47" s="18" t="s">
        <v>376</v>
      </c>
    </row>
    <row r="48" spans="1:6" ht="24" customHeight="1" x14ac:dyDescent="0.2">
      <c r="A48" s="4" t="s">
        <v>294</v>
      </c>
      <c r="B48" s="41">
        <f>B47/$B$22</f>
        <v>1.8903645833333333</v>
      </c>
      <c r="C48" s="41">
        <f>C47/$B$22</f>
        <v>4.0778645833333336</v>
      </c>
      <c r="D48" s="4"/>
      <c r="E48" s="19" t="s">
        <v>295</v>
      </c>
      <c r="F48" s="18" t="s">
        <v>377</v>
      </c>
    </row>
    <row r="49" spans="1:6" ht="21.95" customHeight="1" x14ac:dyDescent="0.2">
      <c r="A49" s="4" t="s">
        <v>297</v>
      </c>
      <c r="B49" s="42">
        <v>16</v>
      </c>
      <c r="C49" s="43" t="s">
        <v>298</v>
      </c>
      <c r="D49" s="4"/>
      <c r="E49" s="19" t="s">
        <v>299</v>
      </c>
      <c r="F49" s="18" t="s">
        <v>378</v>
      </c>
    </row>
    <row r="51" spans="1:6" ht="21.95" customHeight="1" x14ac:dyDescent="0.2">
      <c r="A51" s="77" t="s">
        <v>379</v>
      </c>
      <c r="B51" s="74"/>
      <c r="C51" s="74"/>
      <c r="D51" s="74"/>
      <c r="E51" s="74"/>
      <c r="F51" s="75"/>
    </row>
    <row r="52" spans="1:6" ht="45.95" customHeight="1" x14ac:dyDescent="0.2">
      <c r="A52" s="80" t="s">
        <v>380</v>
      </c>
      <c r="B52" s="79"/>
      <c r="C52" s="79"/>
      <c r="D52" s="79"/>
      <c r="E52" s="79"/>
      <c r="F52" s="79"/>
    </row>
    <row r="53" spans="1:6" ht="24" customHeight="1" x14ac:dyDescent="0.2">
      <c r="A53" s="16" t="s">
        <v>363</v>
      </c>
      <c r="B53" s="16" t="s">
        <v>3</v>
      </c>
      <c r="C53" s="16" t="s">
        <v>87</v>
      </c>
      <c r="D53" s="16"/>
      <c r="E53" s="16" t="s">
        <v>4</v>
      </c>
      <c r="F53" s="16" t="s">
        <v>5</v>
      </c>
    </row>
    <row r="54" spans="1:6" ht="24" customHeight="1" x14ac:dyDescent="0.2">
      <c r="A54" s="4" t="s">
        <v>381</v>
      </c>
      <c r="B54" s="47">
        <v>0.1</v>
      </c>
      <c r="C54" s="45" t="s">
        <v>382</v>
      </c>
      <c r="D54" s="4"/>
      <c r="E54" s="19" t="s">
        <v>375</v>
      </c>
      <c r="F54" s="18" t="s">
        <v>383</v>
      </c>
    </row>
    <row r="55" spans="1:6" ht="24" customHeight="1" x14ac:dyDescent="0.2">
      <c r="A55" s="4" t="s">
        <v>384</v>
      </c>
      <c r="B55" s="44">
        <v>120000</v>
      </c>
      <c r="C55" s="45" t="s">
        <v>385</v>
      </c>
      <c r="D55" s="4"/>
      <c r="E55" s="19" t="s">
        <v>386</v>
      </c>
      <c r="F55" s="18" t="s">
        <v>387</v>
      </c>
    </row>
    <row r="56" spans="1:6" ht="24" customHeight="1" x14ac:dyDescent="0.2">
      <c r="A56" s="4" t="s">
        <v>388</v>
      </c>
      <c r="B56" s="47">
        <v>0.6</v>
      </c>
      <c r="C56" s="45" t="s">
        <v>311</v>
      </c>
      <c r="D56" s="4"/>
      <c r="E56" s="19" t="s">
        <v>389</v>
      </c>
      <c r="F56" s="18" t="s">
        <v>326</v>
      </c>
    </row>
    <row r="57" spans="1:6" ht="21.95" customHeight="1" x14ac:dyDescent="0.2">
      <c r="A57" s="4" t="s">
        <v>390</v>
      </c>
      <c r="B57" s="53">
        <f>B54*$B$19</f>
        <v>92.5</v>
      </c>
      <c r="C57" s="45" t="s">
        <v>391</v>
      </c>
      <c r="D57" s="4"/>
      <c r="E57" s="19"/>
      <c r="F57" s="18" t="s">
        <v>392</v>
      </c>
    </row>
    <row r="58" spans="1:6" ht="21.95" customHeight="1" x14ac:dyDescent="0.2">
      <c r="A58" s="4" t="s">
        <v>393</v>
      </c>
      <c r="B58" s="51">
        <f>B57*B55*B56</f>
        <v>6660000</v>
      </c>
      <c r="C58" s="45" t="s">
        <v>328</v>
      </c>
      <c r="D58" s="4"/>
      <c r="E58" s="19"/>
      <c r="F58" s="18" t="s">
        <v>394</v>
      </c>
    </row>
    <row r="59" spans="1:6" ht="21.95" customHeight="1" x14ac:dyDescent="0.2">
      <c r="A59" s="4" t="s">
        <v>395</v>
      </c>
      <c r="B59" s="51">
        <f>B57*$B$14*$B$20</f>
        <v>901875</v>
      </c>
      <c r="C59" s="45" t="s">
        <v>328</v>
      </c>
      <c r="D59" s="4"/>
      <c r="E59" s="19"/>
      <c r="F59" s="18" t="s">
        <v>396</v>
      </c>
    </row>
    <row r="60" spans="1:6" ht="21.95" customHeight="1" x14ac:dyDescent="0.2">
      <c r="A60" s="4" t="s">
        <v>397</v>
      </c>
      <c r="B60" s="40">
        <f>B59-B58</f>
        <v>-5758125</v>
      </c>
      <c r="C60" s="45" t="s">
        <v>328</v>
      </c>
      <c r="D60" s="4"/>
      <c r="E60" s="19"/>
      <c r="F60" s="18" t="s">
        <v>398</v>
      </c>
    </row>
    <row r="61" spans="1:6" ht="21.95" customHeight="1" x14ac:dyDescent="0.2">
      <c r="A61" s="4" t="s">
        <v>399</v>
      </c>
      <c r="B61" s="40">
        <f>B45+B46</f>
        <v>19368750</v>
      </c>
      <c r="C61" s="45" t="s">
        <v>328</v>
      </c>
      <c r="D61" s="4"/>
      <c r="E61" s="19"/>
      <c r="F61" s="18" t="s">
        <v>400</v>
      </c>
    </row>
    <row r="62" spans="1:6" ht="24" customHeight="1" x14ac:dyDescent="0.2">
      <c r="A62" s="4" t="s">
        <v>401</v>
      </c>
      <c r="B62" s="41">
        <f>B61/$B$22</f>
        <v>2.6901041666666665</v>
      </c>
      <c r="C62" s="45"/>
      <c r="D62" s="4"/>
      <c r="E62" s="19" t="s">
        <v>402</v>
      </c>
      <c r="F62" s="18" t="s">
        <v>403</v>
      </c>
    </row>
    <row r="64" spans="1:6" ht="21.95" customHeight="1" x14ac:dyDescent="0.2">
      <c r="A64" s="80" t="s">
        <v>404</v>
      </c>
      <c r="B64" s="79"/>
      <c r="C64" s="79"/>
      <c r="D64" s="79"/>
      <c r="E64" s="79"/>
      <c r="F64" s="79"/>
    </row>
  </sheetData>
  <mergeCells count="10">
    <mergeCell ref="A64:F64"/>
    <mergeCell ref="A2:F2"/>
    <mergeCell ref="A51:F51"/>
    <mergeCell ref="A52:F52"/>
    <mergeCell ref="A1:F1"/>
    <mergeCell ref="A27:F27"/>
    <mergeCell ref="A34:F34"/>
    <mergeCell ref="A12:F12"/>
    <mergeCell ref="A4:F4"/>
    <mergeCell ref="A40:F40"/>
  </mergeCells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/>
  </sheetViews>
  <sheetFormatPr defaultRowHeight="14.25" x14ac:dyDescent="0.2"/>
  <cols>
    <col min="1" max="1" width="4" customWidth="1"/>
    <col min="2" max="2" width="27" customWidth="1"/>
    <col min="3" max="3" width="30" customWidth="1"/>
    <col min="4" max="4" width="14" customWidth="1"/>
    <col min="5" max="5" width="15" customWidth="1"/>
    <col min="6" max="6" width="40" customWidth="1"/>
  </cols>
  <sheetData>
    <row r="1" spans="1:6" ht="16.5" x14ac:dyDescent="0.25">
      <c r="A1" s="54" t="s">
        <v>405</v>
      </c>
    </row>
    <row r="2" spans="1:6" x14ac:dyDescent="0.2">
      <c r="A2" s="94" t="s">
        <v>406</v>
      </c>
      <c r="B2" s="79"/>
      <c r="C2" s="79"/>
      <c r="D2" s="79"/>
      <c r="E2" s="79"/>
      <c r="F2" s="79"/>
    </row>
    <row r="4" spans="1:6" x14ac:dyDescent="0.2">
      <c r="A4" s="63" t="s">
        <v>244</v>
      </c>
      <c r="B4" s="63" t="s">
        <v>407</v>
      </c>
      <c r="C4" s="63" t="s">
        <v>408</v>
      </c>
      <c r="D4" s="63" t="s">
        <v>409</v>
      </c>
      <c r="E4" s="63" t="s">
        <v>410</v>
      </c>
      <c r="F4" s="63" t="s">
        <v>411</v>
      </c>
    </row>
    <row r="5" spans="1:6" x14ac:dyDescent="0.2">
      <c r="A5" s="64" t="s">
        <v>412</v>
      </c>
      <c r="B5" s="64" t="s">
        <v>413</v>
      </c>
      <c r="C5" s="60" t="s">
        <v>414</v>
      </c>
      <c r="D5" s="60" t="s">
        <v>415</v>
      </c>
      <c r="E5" s="60" t="s">
        <v>416</v>
      </c>
      <c r="F5" s="65" t="s">
        <v>417</v>
      </c>
    </row>
    <row r="6" spans="1:6" x14ac:dyDescent="0.2">
      <c r="A6" s="64" t="s">
        <v>418</v>
      </c>
      <c r="B6" s="64" t="s">
        <v>419</v>
      </c>
      <c r="C6" s="60" t="s">
        <v>420</v>
      </c>
      <c r="D6" s="60" t="s">
        <v>421</v>
      </c>
      <c r="E6" s="60" t="s">
        <v>422</v>
      </c>
      <c r="F6" s="65" t="s">
        <v>423</v>
      </c>
    </row>
    <row r="7" spans="1:6" ht="25.5" x14ac:dyDescent="0.2">
      <c r="A7" s="64" t="s">
        <v>424</v>
      </c>
      <c r="B7" s="64" t="s">
        <v>425</v>
      </c>
      <c r="C7" s="60" t="s">
        <v>426</v>
      </c>
      <c r="D7" s="60" t="s">
        <v>427</v>
      </c>
      <c r="E7" s="60" t="s">
        <v>428</v>
      </c>
      <c r="F7" s="65" t="s">
        <v>429</v>
      </c>
    </row>
    <row r="8" spans="1:6" ht="25.5" x14ac:dyDescent="0.2">
      <c r="A8" s="66" t="s">
        <v>430</v>
      </c>
      <c r="B8" s="66" t="s">
        <v>431</v>
      </c>
      <c r="C8" s="67" t="s">
        <v>432</v>
      </c>
      <c r="D8" s="67" t="s">
        <v>433</v>
      </c>
      <c r="E8" s="67" t="s">
        <v>434</v>
      </c>
      <c r="F8" s="67" t="s">
        <v>435</v>
      </c>
    </row>
    <row r="10" spans="1:6" x14ac:dyDescent="0.2">
      <c r="A10" s="95" t="s">
        <v>436</v>
      </c>
      <c r="B10" s="79"/>
      <c r="C10" s="79"/>
      <c r="D10" s="79"/>
      <c r="E10" s="79"/>
      <c r="F10" s="79"/>
    </row>
  </sheetData>
  <mergeCells count="2">
    <mergeCell ref="A2:F2"/>
    <mergeCell ref="A10:F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9"/>
  <sheetViews>
    <sheetView workbookViewId="0">
      <selection activeCell="C26" sqref="C26:F26"/>
    </sheetView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x14ac:dyDescent="0.25">
      <c r="A1" s="54" t="s">
        <v>437</v>
      </c>
    </row>
    <row r="2" spans="1:6" ht="30" customHeight="1" x14ac:dyDescent="0.2">
      <c r="A2" s="94" t="s">
        <v>438</v>
      </c>
      <c r="B2" s="79"/>
      <c r="C2" s="79"/>
      <c r="D2" s="79"/>
      <c r="E2" s="79"/>
      <c r="F2" s="79"/>
    </row>
    <row r="4" spans="1:6" x14ac:dyDescent="0.2">
      <c r="A4" s="55" t="s">
        <v>439</v>
      </c>
      <c r="B4" s="56"/>
      <c r="C4" s="56"/>
      <c r="D4" s="56"/>
      <c r="E4" s="56"/>
      <c r="F4" s="56"/>
    </row>
    <row r="5" spans="1:6" x14ac:dyDescent="0.2">
      <c r="A5" s="57" t="s">
        <v>2</v>
      </c>
      <c r="B5" s="57" t="s">
        <v>3</v>
      </c>
      <c r="C5" s="57" t="s">
        <v>440</v>
      </c>
    </row>
    <row r="6" spans="1:6" ht="26.1" customHeight="1" x14ac:dyDescent="0.25">
      <c r="A6" s="58" t="s">
        <v>441</v>
      </c>
      <c r="B6" s="59" t="s">
        <v>415</v>
      </c>
      <c r="C6" s="96" t="s">
        <v>442</v>
      </c>
      <c r="D6" s="79"/>
      <c r="E6" s="79"/>
      <c r="F6" s="79"/>
    </row>
    <row r="7" spans="1:6" ht="26.1" customHeight="1" x14ac:dyDescent="0.25">
      <c r="A7" s="58" t="s">
        <v>443</v>
      </c>
      <c r="B7" s="59" t="s">
        <v>416</v>
      </c>
      <c r="C7" s="96" t="s">
        <v>444</v>
      </c>
      <c r="D7" s="79"/>
      <c r="E7" s="79"/>
      <c r="F7" s="79"/>
    </row>
    <row r="8" spans="1:6" ht="26.1" customHeight="1" x14ac:dyDescent="0.25">
      <c r="A8" s="58" t="s">
        <v>445</v>
      </c>
      <c r="B8" s="59" t="s">
        <v>446</v>
      </c>
      <c r="C8" s="96" t="s">
        <v>447</v>
      </c>
      <c r="D8" s="79"/>
      <c r="E8" s="79"/>
      <c r="F8" s="79"/>
    </row>
    <row r="9" spans="1:6" ht="26.1" customHeight="1" x14ac:dyDescent="0.25">
      <c r="A9" s="58" t="s">
        <v>448</v>
      </c>
      <c r="B9" s="59" t="s">
        <v>449</v>
      </c>
      <c r="C9" s="96" t="s">
        <v>450</v>
      </c>
      <c r="D9" s="79"/>
      <c r="E9" s="79"/>
      <c r="F9" s="79"/>
    </row>
    <row r="11" spans="1:6" x14ac:dyDescent="0.2">
      <c r="A11" s="55" t="s">
        <v>451</v>
      </c>
      <c r="B11" s="56"/>
      <c r="C11" s="56"/>
      <c r="D11" s="56"/>
      <c r="E11" s="56"/>
      <c r="F11" s="56"/>
    </row>
    <row r="12" spans="1:6" x14ac:dyDescent="0.2">
      <c r="A12" s="57" t="s">
        <v>156</v>
      </c>
      <c r="B12" s="57" t="s">
        <v>102</v>
      </c>
      <c r="C12" s="57" t="s">
        <v>452</v>
      </c>
    </row>
    <row r="13" spans="1:6" x14ac:dyDescent="0.2">
      <c r="A13" s="61" t="s">
        <v>453</v>
      </c>
      <c r="B13" s="58" t="s">
        <v>427</v>
      </c>
      <c r="C13" s="95" t="s">
        <v>454</v>
      </c>
      <c r="D13" s="79"/>
      <c r="E13" s="79"/>
      <c r="F13" s="79"/>
    </row>
    <row r="14" spans="1:6" x14ac:dyDescent="0.2">
      <c r="A14" s="61" t="s">
        <v>455</v>
      </c>
      <c r="B14" s="58" t="s">
        <v>427</v>
      </c>
      <c r="C14" s="95" t="s">
        <v>456</v>
      </c>
      <c r="D14" s="79"/>
      <c r="E14" s="79"/>
      <c r="F14" s="79"/>
    </row>
    <row r="15" spans="1:6" x14ac:dyDescent="0.2">
      <c r="A15" s="61" t="s">
        <v>457</v>
      </c>
      <c r="B15" s="58" t="s">
        <v>458</v>
      </c>
      <c r="C15" s="95" t="s">
        <v>459</v>
      </c>
      <c r="D15" s="79"/>
      <c r="E15" s="79"/>
      <c r="F15" s="79"/>
    </row>
    <row r="16" spans="1:6" x14ac:dyDescent="0.2">
      <c r="A16" s="61" t="s">
        <v>460</v>
      </c>
      <c r="B16" s="58" t="s">
        <v>461</v>
      </c>
      <c r="C16" s="95" t="s">
        <v>462</v>
      </c>
      <c r="D16" s="79"/>
      <c r="E16" s="79"/>
      <c r="F16" s="79"/>
    </row>
    <row r="17" spans="1:6" x14ac:dyDescent="0.2">
      <c r="A17" s="61" t="s">
        <v>463</v>
      </c>
      <c r="B17" s="58" t="s">
        <v>458</v>
      </c>
      <c r="C17" s="95" t="s">
        <v>464</v>
      </c>
      <c r="D17" s="79"/>
      <c r="E17" s="79"/>
      <c r="F17" s="79"/>
    </row>
    <row r="18" spans="1:6" x14ac:dyDescent="0.2">
      <c r="A18" s="61" t="s">
        <v>465</v>
      </c>
      <c r="B18" s="58" t="s">
        <v>458</v>
      </c>
      <c r="C18" s="95" t="s">
        <v>466</v>
      </c>
      <c r="D18" s="79"/>
      <c r="E18" s="79"/>
      <c r="F18" s="79"/>
    </row>
    <row r="19" spans="1:6" x14ac:dyDescent="0.2">
      <c r="A19" s="58" t="s">
        <v>467</v>
      </c>
      <c r="B19" s="58" t="s">
        <v>415</v>
      </c>
      <c r="C19" s="95" t="s">
        <v>468</v>
      </c>
      <c r="D19" s="79"/>
      <c r="E19" s="79"/>
      <c r="F19" s="79"/>
    </row>
    <row r="21" spans="1:6" x14ac:dyDescent="0.2">
      <c r="A21" s="55" t="s">
        <v>469</v>
      </c>
      <c r="B21" s="56"/>
      <c r="C21" s="56"/>
      <c r="D21" s="56"/>
      <c r="E21" s="56"/>
      <c r="F21" s="56"/>
    </row>
    <row r="22" spans="1:6" x14ac:dyDescent="0.2">
      <c r="A22" s="57" t="s">
        <v>354</v>
      </c>
      <c r="B22" s="57" t="s">
        <v>470</v>
      </c>
      <c r="C22" s="57" t="s">
        <v>471</v>
      </c>
    </row>
    <row r="23" spans="1:6" x14ac:dyDescent="0.2">
      <c r="A23" s="61" t="s">
        <v>472</v>
      </c>
      <c r="B23" s="68">
        <v>55000000</v>
      </c>
      <c r="C23" s="95" t="s">
        <v>473</v>
      </c>
      <c r="D23" s="79"/>
      <c r="E23" s="79"/>
      <c r="F23" s="79"/>
    </row>
    <row r="24" spans="1:6" x14ac:dyDescent="0.2">
      <c r="A24" s="61" t="s">
        <v>455</v>
      </c>
      <c r="B24" s="68">
        <v>60000000</v>
      </c>
      <c r="C24" s="95" t="s">
        <v>474</v>
      </c>
      <c r="D24" s="79"/>
      <c r="E24" s="79"/>
      <c r="F24" s="79"/>
    </row>
    <row r="25" spans="1:6" x14ac:dyDescent="0.2">
      <c r="A25" s="61" t="s">
        <v>475</v>
      </c>
      <c r="B25" s="68">
        <v>45000000</v>
      </c>
      <c r="C25" s="95" t="s">
        <v>476</v>
      </c>
      <c r="D25" s="79"/>
      <c r="E25" s="79"/>
      <c r="F25" s="79"/>
    </row>
    <row r="26" spans="1:6" x14ac:dyDescent="0.2">
      <c r="A26" s="61" t="s">
        <v>477</v>
      </c>
      <c r="B26" s="68">
        <v>40000000</v>
      </c>
      <c r="C26" s="95" t="s">
        <v>478</v>
      </c>
      <c r="D26" s="79"/>
      <c r="E26" s="79"/>
      <c r="F26" s="79"/>
    </row>
    <row r="27" spans="1:6" x14ac:dyDescent="0.2">
      <c r="A27" s="61" t="s">
        <v>479</v>
      </c>
      <c r="B27" s="68">
        <v>45000000</v>
      </c>
      <c r="C27" s="95" t="s">
        <v>480</v>
      </c>
      <c r="D27" s="79"/>
      <c r="E27" s="79"/>
      <c r="F27" s="79"/>
    </row>
    <row r="28" spans="1:6" x14ac:dyDescent="0.2">
      <c r="A28" s="61" t="s">
        <v>481</v>
      </c>
      <c r="B28" s="68">
        <v>55000000</v>
      </c>
      <c r="C28" s="95" t="s">
        <v>482</v>
      </c>
      <c r="D28" s="79"/>
      <c r="E28" s="79"/>
      <c r="F28" s="79"/>
    </row>
    <row r="29" spans="1:6" x14ac:dyDescent="0.2">
      <c r="A29" s="58" t="s">
        <v>483</v>
      </c>
      <c r="B29" s="69">
        <f>B23+B24+B25+B26+B27+B28</f>
        <v>300000000</v>
      </c>
      <c r="C29" s="95" t="s">
        <v>484</v>
      </c>
      <c r="D29" s="79"/>
      <c r="E29" s="79"/>
      <c r="F29" s="79"/>
    </row>
  </sheetData>
  <mergeCells count="19">
    <mergeCell ref="C29:F29"/>
    <mergeCell ref="C16:F16"/>
    <mergeCell ref="C25:F25"/>
    <mergeCell ref="C9:F9"/>
    <mergeCell ref="C27:F27"/>
    <mergeCell ref="C28:F28"/>
    <mergeCell ref="C13:F13"/>
    <mergeCell ref="A2:F2"/>
    <mergeCell ref="C18:F18"/>
    <mergeCell ref="C6:F6"/>
    <mergeCell ref="C15:F15"/>
    <mergeCell ref="C24:F24"/>
    <mergeCell ref="C14:F14"/>
    <mergeCell ref="C26:F26"/>
    <mergeCell ref="C17:F17"/>
    <mergeCell ref="C23:F23"/>
    <mergeCell ref="C8:F8"/>
    <mergeCell ref="C7:F7"/>
    <mergeCell ref="C19:F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1"/>
  <sheetViews>
    <sheetView workbookViewId="0"/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x14ac:dyDescent="0.25">
      <c r="A1" s="54" t="s">
        <v>485</v>
      </c>
    </row>
    <row r="2" spans="1:6" ht="30" customHeight="1" x14ac:dyDescent="0.2">
      <c r="A2" s="94" t="s">
        <v>486</v>
      </c>
      <c r="B2" s="79"/>
      <c r="C2" s="79"/>
      <c r="D2" s="79"/>
      <c r="E2" s="79"/>
      <c r="F2" s="79"/>
    </row>
    <row r="4" spans="1:6" x14ac:dyDescent="0.2">
      <c r="A4" s="55" t="s">
        <v>439</v>
      </c>
      <c r="B4" s="56"/>
      <c r="C4" s="56"/>
      <c r="D4" s="56"/>
      <c r="E4" s="56"/>
      <c r="F4" s="56"/>
    </row>
    <row r="5" spans="1:6" x14ac:dyDescent="0.2">
      <c r="A5" s="57" t="s">
        <v>2</v>
      </c>
      <c r="B5" s="57" t="s">
        <v>3</v>
      </c>
      <c r="C5" s="57" t="s">
        <v>440</v>
      </c>
    </row>
    <row r="6" spans="1:6" ht="26.1" customHeight="1" x14ac:dyDescent="0.25">
      <c r="A6" s="58" t="s">
        <v>441</v>
      </c>
      <c r="B6" s="59" t="s">
        <v>421</v>
      </c>
      <c r="C6" s="96" t="s">
        <v>487</v>
      </c>
      <c r="D6" s="79"/>
      <c r="E6" s="79"/>
      <c r="F6" s="79"/>
    </row>
    <row r="7" spans="1:6" ht="26.1" customHeight="1" x14ac:dyDescent="0.25">
      <c r="A7" s="58" t="s">
        <v>443</v>
      </c>
      <c r="B7" s="59" t="s">
        <v>422</v>
      </c>
      <c r="C7" s="96" t="s">
        <v>488</v>
      </c>
      <c r="D7" s="79"/>
      <c r="E7" s="79"/>
      <c r="F7" s="79"/>
    </row>
    <row r="8" spans="1:6" ht="26.1" customHeight="1" x14ac:dyDescent="0.25">
      <c r="A8" s="58" t="s">
        <v>445</v>
      </c>
      <c r="B8" s="59" t="s">
        <v>489</v>
      </c>
      <c r="C8" s="96" t="s">
        <v>490</v>
      </c>
      <c r="D8" s="79"/>
      <c r="E8" s="79"/>
      <c r="F8" s="79"/>
    </row>
    <row r="9" spans="1:6" ht="26.1" customHeight="1" x14ac:dyDescent="0.25">
      <c r="A9" s="58" t="s">
        <v>448</v>
      </c>
      <c r="B9" s="59" t="s">
        <v>449</v>
      </c>
      <c r="C9" s="96" t="s">
        <v>491</v>
      </c>
      <c r="D9" s="79"/>
      <c r="E9" s="79"/>
      <c r="F9" s="79"/>
    </row>
    <row r="11" spans="1:6" x14ac:dyDescent="0.2">
      <c r="A11" s="55" t="s">
        <v>451</v>
      </c>
      <c r="B11" s="56"/>
      <c r="C11" s="56"/>
      <c r="D11" s="56"/>
      <c r="E11" s="56"/>
      <c r="F11" s="56"/>
    </row>
    <row r="12" spans="1:6" x14ac:dyDescent="0.2">
      <c r="A12" s="57" t="s">
        <v>156</v>
      </c>
      <c r="B12" s="57" t="s">
        <v>102</v>
      </c>
      <c r="C12" s="57" t="s">
        <v>452</v>
      </c>
    </row>
    <row r="13" spans="1:6" x14ac:dyDescent="0.2">
      <c r="A13" s="61" t="s">
        <v>492</v>
      </c>
      <c r="B13" s="58" t="s">
        <v>493</v>
      </c>
      <c r="C13" s="95" t="s">
        <v>494</v>
      </c>
      <c r="D13" s="79"/>
      <c r="E13" s="79"/>
      <c r="F13" s="79"/>
    </row>
    <row r="14" spans="1:6" x14ac:dyDescent="0.2">
      <c r="A14" s="61" t="s">
        <v>495</v>
      </c>
      <c r="B14" s="58" t="s">
        <v>496</v>
      </c>
      <c r="C14" s="95" t="s">
        <v>497</v>
      </c>
      <c r="D14" s="79"/>
      <c r="E14" s="79"/>
      <c r="F14" s="79"/>
    </row>
    <row r="15" spans="1:6" x14ac:dyDescent="0.2">
      <c r="A15" s="61" t="s">
        <v>498</v>
      </c>
      <c r="B15" s="58" t="s">
        <v>499</v>
      </c>
      <c r="C15" s="95" t="s">
        <v>500</v>
      </c>
      <c r="D15" s="79"/>
      <c r="E15" s="79"/>
      <c r="F15" s="79"/>
    </row>
    <row r="16" spans="1:6" x14ac:dyDescent="0.2">
      <c r="A16" s="61" t="s">
        <v>501</v>
      </c>
      <c r="B16" s="58" t="s">
        <v>461</v>
      </c>
      <c r="C16" s="95" t="s">
        <v>502</v>
      </c>
      <c r="D16" s="79"/>
      <c r="E16" s="79"/>
      <c r="F16" s="79"/>
    </row>
    <row r="17" spans="1:6" x14ac:dyDescent="0.2">
      <c r="A17" s="61" t="s">
        <v>503</v>
      </c>
      <c r="B17" s="58" t="s">
        <v>461</v>
      </c>
      <c r="C17" s="95" t="s">
        <v>504</v>
      </c>
      <c r="D17" s="79"/>
      <c r="E17" s="79"/>
      <c r="F17" s="79"/>
    </row>
    <row r="18" spans="1:6" x14ac:dyDescent="0.2">
      <c r="A18" s="58" t="s">
        <v>467</v>
      </c>
      <c r="B18" s="58" t="s">
        <v>421</v>
      </c>
      <c r="C18" s="95" t="s">
        <v>505</v>
      </c>
      <c r="D18" s="79"/>
      <c r="E18" s="79"/>
      <c r="F18" s="79"/>
    </row>
    <row r="20" spans="1:6" x14ac:dyDescent="0.2">
      <c r="A20" s="55" t="s">
        <v>469</v>
      </c>
      <c r="B20" s="56"/>
      <c r="C20" s="56"/>
      <c r="D20" s="56"/>
      <c r="E20" s="56"/>
      <c r="F20" s="56"/>
    </row>
    <row r="21" spans="1:6" x14ac:dyDescent="0.2">
      <c r="A21" s="57" t="s">
        <v>354</v>
      </c>
      <c r="B21" s="57" t="s">
        <v>470</v>
      </c>
      <c r="C21" s="57" t="s">
        <v>471</v>
      </c>
    </row>
    <row r="22" spans="1:6" x14ac:dyDescent="0.2">
      <c r="A22" s="61" t="s">
        <v>506</v>
      </c>
      <c r="B22" s="70">
        <v>25</v>
      </c>
      <c r="C22" s="95" t="s">
        <v>507</v>
      </c>
      <c r="D22" s="79"/>
      <c r="E22" s="79"/>
      <c r="F22" s="79"/>
    </row>
    <row r="23" spans="1:6" x14ac:dyDescent="0.2">
      <c r="A23" s="61" t="s">
        <v>508</v>
      </c>
      <c r="B23" s="70">
        <v>3</v>
      </c>
      <c r="C23" s="95" t="s">
        <v>509</v>
      </c>
      <c r="D23" s="79"/>
      <c r="E23" s="79"/>
      <c r="F23" s="79"/>
    </row>
    <row r="24" spans="1:6" x14ac:dyDescent="0.2">
      <c r="A24" s="61" t="s">
        <v>510</v>
      </c>
      <c r="B24" s="68">
        <v>280000</v>
      </c>
      <c r="C24" s="95" t="s">
        <v>511</v>
      </c>
      <c r="D24" s="79"/>
      <c r="E24" s="79"/>
      <c r="F24" s="79"/>
    </row>
    <row r="25" spans="1:6" x14ac:dyDescent="0.2">
      <c r="A25" s="61" t="s">
        <v>512</v>
      </c>
      <c r="B25" s="69">
        <f>B22*B23*B24</f>
        <v>21000000</v>
      </c>
      <c r="C25" s="95"/>
      <c r="D25" s="79"/>
      <c r="E25" s="79"/>
      <c r="F25" s="79"/>
    </row>
    <row r="26" spans="1:6" x14ac:dyDescent="0.2">
      <c r="A26" s="61" t="s">
        <v>513</v>
      </c>
      <c r="B26" s="68">
        <v>4000000</v>
      </c>
      <c r="C26" s="95" t="s">
        <v>514</v>
      </c>
      <c r="D26" s="79"/>
      <c r="E26" s="79"/>
      <c r="F26" s="79"/>
    </row>
    <row r="27" spans="1:6" x14ac:dyDescent="0.2">
      <c r="A27" s="61" t="s">
        <v>515</v>
      </c>
      <c r="B27" s="68">
        <v>6000000</v>
      </c>
      <c r="C27" s="95" t="s">
        <v>516</v>
      </c>
      <c r="D27" s="79"/>
      <c r="E27" s="79"/>
      <c r="F27" s="79"/>
    </row>
    <row r="28" spans="1:6" x14ac:dyDescent="0.2">
      <c r="A28" s="61" t="s">
        <v>517</v>
      </c>
      <c r="B28" s="68">
        <v>3000000</v>
      </c>
      <c r="C28" s="95" t="s">
        <v>518</v>
      </c>
      <c r="D28" s="79"/>
      <c r="E28" s="79"/>
      <c r="F28" s="79"/>
    </row>
    <row r="29" spans="1:6" x14ac:dyDescent="0.2">
      <c r="A29" s="61" t="s">
        <v>519</v>
      </c>
      <c r="B29" s="68">
        <v>3000000</v>
      </c>
      <c r="C29" s="95" t="s">
        <v>520</v>
      </c>
      <c r="D29" s="79"/>
      <c r="E29" s="79"/>
      <c r="F29" s="79"/>
    </row>
    <row r="30" spans="1:6" x14ac:dyDescent="0.2">
      <c r="A30" s="61" t="s">
        <v>521</v>
      </c>
      <c r="B30" s="68">
        <v>3000000</v>
      </c>
      <c r="C30" s="95" t="s">
        <v>522</v>
      </c>
      <c r="D30" s="79"/>
      <c r="E30" s="79"/>
      <c r="F30" s="79"/>
    </row>
    <row r="31" spans="1:6" x14ac:dyDescent="0.2">
      <c r="A31" s="58" t="s">
        <v>523</v>
      </c>
      <c r="B31" s="69">
        <f>B25+B26+B27+B28+B29+B30</f>
        <v>40000000</v>
      </c>
      <c r="C31" s="95" t="s">
        <v>524</v>
      </c>
      <c r="D31" s="79"/>
      <c r="E31" s="79"/>
      <c r="F31" s="79"/>
    </row>
  </sheetData>
  <mergeCells count="21">
    <mergeCell ref="C31:F31"/>
    <mergeCell ref="C27:F27"/>
    <mergeCell ref="A2:F2"/>
    <mergeCell ref="C18:F18"/>
    <mergeCell ref="C6:F6"/>
    <mergeCell ref="C30:F30"/>
    <mergeCell ref="C15:F15"/>
    <mergeCell ref="C24:F24"/>
    <mergeCell ref="C14:F14"/>
    <mergeCell ref="C26:F26"/>
    <mergeCell ref="C29:F29"/>
    <mergeCell ref="C16:F16"/>
    <mergeCell ref="C25:F25"/>
    <mergeCell ref="C22:F22"/>
    <mergeCell ref="C9:F9"/>
    <mergeCell ref="C17:F17"/>
    <mergeCell ref="C23:F23"/>
    <mergeCell ref="C8:F8"/>
    <mergeCell ref="C7:F7"/>
    <mergeCell ref="C28:F28"/>
    <mergeCell ref="C13:F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7"/>
  <sheetViews>
    <sheetView workbookViewId="0">
      <selection activeCell="C19" sqref="C19:F26"/>
    </sheetView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x14ac:dyDescent="0.25">
      <c r="A1" s="54" t="s">
        <v>525</v>
      </c>
    </row>
    <row r="2" spans="1:6" ht="30" customHeight="1" x14ac:dyDescent="0.2">
      <c r="A2" s="94" t="s">
        <v>526</v>
      </c>
      <c r="B2" s="79"/>
      <c r="C2" s="79"/>
      <c r="D2" s="79"/>
      <c r="E2" s="79"/>
      <c r="F2" s="79"/>
    </row>
    <row r="4" spans="1:6" x14ac:dyDescent="0.2">
      <c r="A4" s="55" t="s">
        <v>439</v>
      </c>
      <c r="B4" s="56"/>
      <c r="C4" s="56"/>
      <c r="D4" s="56"/>
      <c r="E4" s="56"/>
      <c r="F4" s="56"/>
    </row>
    <row r="5" spans="1:6" x14ac:dyDescent="0.2">
      <c r="A5" s="57" t="s">
        <v>2</v>
      </c>
      <c r="B5" s="57" t="s">
        <v>3</v>
      </c>
      <c r="C5" s="57" t="s">
        <v>440</v>
      </c>
    </row>
    <row r="6" spans="1:6" ht="26.1" customHeight="1" x14ac:dyDescent="0.25">
      <c r="A6" s="58" t="s">
        <v>441</v>
      </c>
      <c r="B6" s="59" t="s">
        <v>427</v>
      </c>
      <c r="C6" s="96" t="s">
        <v>527</v>
      </c>
      <c r="D6" s="79"/>
      <c r="E6" s="79"/>
      <c r="F6" s="79"/>
    </row>
    <row r="7" spans="1:6" ht="26.1" customHeight="1" x14ac:dyDescent="0.25">
      <c r="A7" s="58" t="s">
        <v>443</v>
      </c>
      <c r="B7" s="59" t="s">
        <v>428</v>
      </c>
      <c r="C7" s="96" t="s">
        <v>528</v>
      </c>
      <c r="D7" s="79"/>
      <c r="E7" s="79"/>
      <c r="F7" s="79"/>
    </row>
    <row r="8" spans="1:6" ht="26.1" customHeight="1" x14ac:dyDescent="0.25">
      <c r="A8" s="58" t="s">
        <v>445</v>
      </c>
      <c r="B8" s="59" t="s">
        <v>529</v>
      </c>
      <c r="C8" s="96" t="s">
        <v>530</v>
      </c>
      <c r="D8" s="79"/>
      <c r="E8" s="79"/>
      <c r="F8" s="79"/>
    </row>
    <row r="9" spans="1:6" ht="26.1" customHeight="1" x14ac:dyDescent="0.25">
      <c r="A9" s="58" t="s">
        <v>448</v>
      </c>
      <c r="B9" s="59" t="s">
        <v>449</v>
      </c>
      <c r="C9" s="96" t="s">
        <v>531</v>
      </c>
      <c r="D9" s="79"/>
      <c r="E9" s="79"/>
      <c r="F9" s="79"/>
    </row>
    <row r="11" spans="1:6" x14ac:dyDescent="0.2">
      <c r="A11" s="55" t="s">
        <v>451</v>
      </c>
      <c r="B11" s="56"/>
      <c r="C11" s="56"/>
      <c r="D11" s="56"/>
      <c r="E11" s="56"/>
      <c r="F11" s="56"/>
    </row>
    <row r="12" spans="1:6" x14ac:dyDescent="0.2">
      <c r="A12" s="57" t="s">
        <v>156</v>
      </c>
      <c r="B12" s="57" t="s">
        <v>102</v>
      </c>
      <c r="C12" s="57" t="s">
        <v>452</v>
      </c>
    </row>
    <row r="13" spans="1:6" x14ac:dyDescent="0.2">
      <c r="A13" s="61" t="s">
        <v>532</v>
      </c>
      <c r="B13" s="58" t="s">
        <v>461</v>
      </c>
      <c r="C13" s="95" t="s">
        <v>533</v>
      </c>
      <c r="D13" s="79"/>
      <c r="E13" s="79"/>
      <c r="F13" s="79"/>
    </row>
    <row r="14" spans="1:6" x14ac:dyDescent="0.2">
      <c r="A14" s="61" t="s">
        <v>534</v>
      </c>
      <c r="B14" s="58" t="s">
        <v>461</v>
      </c>
      <c r="C14" s="95" t="s">
        <v>535</v>
      </c>
      <c r="D14" s="79"/>
      <c r="E14" s="79"/>
      <c r="F14" s="79"/>
    </row>
    <row r="15" spans="1:6" x14ac:dyDescent="0.2">
      <c r="A15" s="58" t="s">
        <v>467</v>
      </c>
      <c r="B15" s="58" t="s">
        <v>427</v>
      </c>
      <c r="C15" s="95" t="s">
        <v>536</v>
      </c>
      <c r="D15" s="79"/>
      <c r="E15" s="79"/>
      <c r="F15" s="79"/>
    </row>
    <row r="17" spans="1:6" x14ac:dyDescent="0.2">
      <c r="A17" s="55" t="s">
        <v>469</v>
      </c>
      <c r="B17" s="56"/>
      <c r="C17" s="56"/>
      <c r="D17" s="56"/>
      <c r="E17" s="56"/>
      <c r="F17" s="56"/>
    </row>
    <row r="18" spans="1:6" x14ac:dyDescent="0.2">
      <c r="A18" s="57" t="s">
        <v>354</v>
      </c>
      <c r="B18" s="57" t="s">
        <v>470</v>
      </c>
      <c r="C18" s="57" t="s">
        <v>471</v>
      </c>
    </row>
    <row r="19" spans="1:6" x14ac:dyDescent="0.2">
      <c r="A19" s="61" t="s">
        <v>537</v>
      </c>
      <c r="B19" s="70">
        <v>6</v>
      </c>
      <c r="C19" s="95" t="s">
        <v>538</v>
      </c>
      <c r="D19" s="79"/>
      <c r="E19" s="79"/>
      <c r="F19" s="79"/>
    </row>
    <row r="20" spans="1:6" x14ac:dyDescent="0.2">
      <c r="A20" s="61" t="s">
        <v>508</v>
      </c>
      <c r="B20" s="70">
        <v>1</v>
      </c>
      <c r="C20" s="95" t="s">
        <v>539</v>
      </c>
      <c r="D20" s="79"/>
      <c r="E20" s="79"/>
      <c r="F20" s="79"/>
    </row>
    <row r="21" spans="1:6" x14ac:dyDescent="0.2">
      <c r="A21" s="61" t="s">
        <v>510</v>
      </c>
      <c r="B21" s="68">
        <v>250000</v>
      </c>
      <c r="C21" s="95" t="s">
        <v>540</v>
      </c>
      <c r="D21" s="79"/>
      <c r="E21" s="79"/>
      <c r="F21" s="79"/>
    </row>
    <row r="22" spans="1:6" x14ac:dyDescent="0.2">
      <c r="A22" s="61" t="s">
        <v>512</v>
      </c>
      <c r="B22" s="69">
        <f>B19*B20*B21</f>
        <v>1500000</v>
      </c>
      <c r="C22" s="95"/>
      <c r="D22" s="79"/>
      <c r="E22" s="79"/>
      <c r="F22" s="79"/>
    </row>
    <row r="23" spans="1:6" x14ac:dyDescent="0.2">
      <c r="A23" s="61" t="s">
        <v>541</v>
      </c>
      <c r="B23" s="68">
        <v>300000</v>
      </c>
      <c r="C23" s="95" t="s">
        <v>542</v>
      </c>
      <c r="D23" s="79"/>
      <c r="E23" s="79"/>
      <c r="F23" s="79"/>
    </row>
    <row r="24" spans="1:6" x14ac:dyDescent="0.2">
      <c r="A24" s="61" t="s">
        <v>543</v>
      </c>
      <c r="B24" s="68">
        <v>200000</v>
      </c>
      <c r="C24" s="95" t="s">
        <v>544</v>
      </c>
      <c r="D24" s="79"/>
      <c r="E24" s="79"/>
      <c r="F24" s="79"/>
    </row>
    <row r="25" spans="1:6" x14ac:dyDescent="0.2">
      <c r="A25" s="61" t="s">
        <v>545</v>
      </c>
      <c r="B25" s="68">
        <v>500000</v>
      </c>
      <c r="C25" s="95" t="s">
        <v>546</v>
      </c>
      <c r="D25" s="79"/>
      <c r="E25" s="79"/>
      <c r="F25" s="79"/>
    </row>
    <row r="26" spans="1:6" x14ac:dyDescent="0.2">
      <c r="A26" s="61" t="s">
        <v>547</v>
      </c>
      <c r="B26" s="68">
        <v>500000</v>
      </c>
      <c r="C26" s="95" t="s">
        <v>548</v>
      </c>
      <c r="D26" s="79"/>
      <c r="E26" s="79"/>
      <c r="F26" s="79"/>
    </row>
    <row r="27" spans="1:6" x14ac:dyDescent="0.2">
      <c r="A27" s="58" t="s">
        <v>549</v>
      </c>
      <c r="B27" s="69">
        <f>B22+B23+B24+B25+B26</f>
        <v>3000000</v>
      </c>
      <c r="C27" s="95" t="s">
        <v>550</v>
      </c>
      <c r="D27" s="79"/>
      <c r="E27" s="79"/>
      <c r="F27" s="79"/>
    </row>
  </sheetData>
  <mergeCells count="17">
    <mergeCell ref="C26:F26"/>
    <mergeCell ref="C27:F27"/>
    <mergeCell ref="C6:F6"/>
    <mergeCell ref="C7:F7"/>
    <mergeCell ref="C21:F21"/>
    <mergeCell ref="C15:F15"/>
    <mergeCell ref="C25:F25"/>
    <mergeCell ref="C24:F24"/>
    <mergeCell ref="C19:F19"/>
    <mergeCell ref="C14:F14"/>
    <mergeCell ref="C13:F13"/>
    <mergeCell ref="A2:F2"/>
    <mergeCell ref="C9:F9"/>
    <mergeCell ref="C22:F22"/>
    <mergeCell ref="C23:F23"/>
    <mergeCell ref="C8:F8"/>
    <mergeCell ref="C20:F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7"/>
  <sheetViews>
    <sheetView tabSelected="1" topLeftCell="A11" workbookViewId="0"/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x14ac:dyDescent="0.25">
      <c r="A1" s="54" t="s">
        <v>551</v>
      </c>
    </row>
    <row r="2" spans="1:6" ht="30" customHeight="1" x14ac:dyDescent="0.2">
      <c r="A2" s="94" t="s">
        <v>552</v>
      </c>
      <c r="B2" s="79"/>
      <c r="C2" s="79"/>
      <c r="D2" s="79"/>
      <c r="E2" s="79"/>
      <c r="F2" s="79"/>
    </row>
    <row r="4" spans="1:6" x14ac:dyDescent="0.2">
      <c r="A4" s="55" t="s">
        <v>439</v>
      </c>
      <c r="B4" s="56"/>
      <c r="C4" s="56"/>
      <c r="D4" s="56"/>
      <c r="E4" s="56"/>
      <c r="F4" s="56"/>
    </row>
    <row r="5" spans="1:6" x14ac:dyDescent="0.2">
      <c r="A5" s="57" t="s">
        <v>2</v>
      </c>
      <c r="B5" s="57" t="s">
        <v>3</v>
      </c>
      <c r="C5" s="57" t="s">
        <v>440</v>
      </c>
    </row>
    <row r="6" spans="1:6" ht="26.1" customHeight="1" x14ac:dyDescent="0.25">
      <c r="A6" s="58" t="s">
        <v>441</v>
      </c>
      <c r="B6" s="62" t="s">
        <v>433</v>
      </c>
      <c r="C6" s="96" t="s">
        <v>553</v>
      </c>
      <c r="D6" s="79"/>
      <c r="E6" s="79"/>
      <c r="F6" s="79"/>
    </row>
    <row r="7" spans="1:6" ht="26.1" customHeight="1" x14ac:dyDescent="0.25">
      <c r="A7" s="58" t="s">
        <v>443</v>
      </c>
      <c r="B7" s="62" t="s">
        <v>434</v>
      </c>
      <c r="C7" s="96" t="s">
        <v>554</v>
      </c>
      <c r="D7" s="79"/>
      <c r="E7" s="79"/>
      <c r="F7" s="79"/>
    </row>
    <row r="8" spans="1:6" ht="26.1" customHeight="1" x14ac:dyDescent="0.25">
      <c r="A8" s="58" t="s">
        <v>445</v>
      </c>
      <c r="B8" s="62" t="s">
        <v>555</v>
      </c>
      <c r="C8" s="96" t="s">
        <v>556</v>
      </c>
      <c r="D8" s="79"/>
      <c r="E8" s="79"/>
      <c r="F8" s="79"/>
    </row>
    <row r="9" spans="1:6" ht="26.1" customHeight="1" x14ac:dyDescent="0.25">
      <c r="A9" s="58" t="s">
        <v>448</v>
      </c>
      <c r="B9" s="62" t="s">
        <v>557</v>
      </c>
      <c r="C9" s="96" t="s">
        <v>558</v>
      </c>
      <c r="D9" s="79"/>
      <c r="E9" s="79"/>
      <c r="F9" s="79"/>
    </row>
    <row r="11" spans="1:6" x14ac:dyDescent="0.2">
      <c r="A11" s="55" t="s">
        <v>451</v>
      </c>
      <c r="B11" s="56"/>
      <c r="C11" s="56"/>
      <c r="D11" s="56"/>
      <c r="E11" s="56"/>
      <c r="F11" s="56"/>
    </row>
    <row r="12" spans="1:6" x14ac:dyDescent="0.2">
      <c r="A12" s="57" t="s">
        <v>156</v>
      </c>
      <c r="B12" s="57" t="s">
        <v>102</v>
      </c>
      <c r="C12" s="57" t="s">
        <v>452</v>
      </c>
    </row>
    <row r="13" spans="1:6" x14ac:dyDescent="0.2">
      <c r="A13" s="61" t="s">
        <v>559</v>
      </c>
      <c r="B13" s="58" t="s">
        <v>560</v>
      </c>
      <c r="C13" s="95" t="s">
        <v>561</v>
      </c>
      <c r="D13" s="79"/>
      <c r="E13" s="79"/>
      <c r="F13" s="79"/>
    </row>
    <row r="14" spans="1:6" x14ac:dyDescent="0.2">
      <c r="A14" s="61" t="s">
        <v>562</v>
      </c>
      <c r="B14" s="58" t="s">
        <v>563</v>
      </c>
      <c r="C14" s="95" t="s">
        <v>564</v>
      </c>
      <c r="D14" s="79"/>
      <c r="E14" s="79"/>
      <c r="F14" s="79"/>
    </row>
    <row r="15" spans="1:6" x14ac:dyDescent="0.2">
      <c r="A15" s="58" t="s">
        <v>565</v>
      </c>
      <c r="B15" s="58" t="s">
        <v>566</v>
      </c>
      <c r="C15" s="95" t="s">
        <v>567</v>
      </c>
      <c r="D15" s="79"/>
      <c r="E15" s="79"/>
      <c r="F15" s="79"/>
    </row>
    <row r="17" spans="1:6" x14ac:dyDescent="0.2">
      <c r="A17" s="55" t="s">
        <v>469</v>
      </c>
      <c r="B17" s="56"/>
      <c r="C17" s="56"/>
      <c r="D17" s="56"/>
      <c r="E17" s="56"/>
      <c r="F17" s="56"/>
    </row>
    <row r="18" spans="1:6" x14ac:dyDescent="0.2">
      <c r="A18" s="57" t="s">
        <v>354</v>
      </c>
      <c r="B18" s="57" t="s">
        <v>470</v>
      </c>
      <c r="C18" s="57" t="s">
        <v>471</v>
      </c>
    </row>
    <row r="19" spans="1:6" x14ac:dyDescent="0.2">
      <c r="A19" s="61" t="s">
        <v>113</v>
      </c>
      <c r="B19" s="70">
        <v>12</v>
      </c>
      <c r="C19" s="95" t="s">
        <v>568</v>
      </c>
      <c r="D19" s="79"/>
      <c r="E19" s="79"/>
      <c r="F19" s="79"/>
    </row>
    <row r="20" spans="1:6" x14ac:dyDescent="0.2">
      <c r="A20" s="61" t="s">
        <v>569</v>
      </c>
      <c r="B20" s="70">
        <v>18</v>
      </c>
      <c r="C20" s="95" t="s">
        <v>570</v>
      </c>
      <c r="D20" s="79"/>
      <c r="E20" s="79"/>
      <c r="F20" s="79"/>
    </row>
    <row r="21" spans="1:6" x14ac:dyDescent="0.2">
      <c r="A21" s="61" t="s">
        <v>571</v>
      </c>
      <c r="B21" s="68">
        <v>20833</v>
      </c>
      <c r="C21" s="95" t="s">
        <v>572</v>
      </c>
      <c r="D21" s="79"/>
      <c r="E21" s="79"/>
      <c r="F21" s="79"/>
    </row>
    <row r="22" spans="1:6" x14ac:dyDescent="0.2">
      <c r="A22" s="61" t="s">
        <v>573</v>
      </c>
      <c r="B22" s="69">
        <f>B19*B20*B21</f>
        <v>4499928</v>
      </c>
      <c r="C22" s="95"/>
      <c r="D22" s="79"/>
      <c r="E22" s="79"/>
      <c r="F22" s="79"/>
    </row>
    <row r="23" spans="1:6" x14ac:dyDescent="0.2">
      <c r="A23" s="61" t="s">
        <v>574</v>
      </c>
      <c r="B23" s="68">
        <v>800000</v>
      </c>
      <c r="C23" s="95" t="s">
        <v>575</v>
      </c>
      <c r="D23" s="79"/>
      <c r="E23" s="79"/>
      <c r="F23" s="79"/>
    </row>
    <row r="24" spans="1:6" x14ac:dyDescent="0.2">
      <c r="A24" s="61" t="s">
        <v>576</v>
      </c>
      <c r="B24" s="68">
        <v>600000</v>
      </c>
      <c r="C24" s="95" t="s">
        <v>577</v>
      </c>
      <c r="D24" s="79"/>
      <c r="E24" s="79"/>
      <c r="F24" s="79"/>
    </row>
    <row r="25" spans="1:6" x14ac:dyDescent="0.2">
      <c r="A25" s="61" t="s">
        <v>578</v>
      </c>
      <c r="B25" s="68">
        <v>600000</v>
      </c>
      <c r="C25" s="95" t="s">
        <v>579</v>
      </c>
      <c r="D25" s="79"/>
      <c r="E25" s="79"/>
      <c r="F25" s="79"/>
    </row>
    <row r="26" spans="1:6" x14ac:dyDescent="0.2">
      <c r="A26" s="61" t="s">
        <v>547</v>
      </c>
      <c r="B26" s="68">
        <v>500000</v>
      </c>
      <c r="C26" s="95" t="s">
        <v>580</v>
      </c>
      <c r="D26" s="79"/>
      <c r="E26" s="79"/>
      <c r="F26" s="79"/>
    </row>
    <row r="27" spans="1:6" x14ac:dyDescent="0.2">
      <c r="A27" s="58" t="s">
        <v>549</v>
      </c>
      <c r="B27" s="69">
        <f>B22+B23+B24+B25+B26</f>
        <v>6999928</v>
      </c>
      <c r="C27" s="95" t="s">
        <v>581</v>
      </c>
      <c r="D27" s="79"/>
      <c r="E27" s="79"/>
      <c r="F27" s="79"/>
    </row>
  </sheetData>
  <mergeCells count="17">
    <mergeCell ref="C26:F26"/>
    <mergeCell ref="C27:F27"/>
    <mergeCell ref="C6:F6"/>
    <mergeCell ref="C7:F7"/>
    <mergeCell ref="C21:F21"/>
    <mergeCell ref="C15:F15"/>
    <mergeCell ref="C25:F25"/>
    <mergeCell ref="C24:F24"/>
    <mergeCell ref="C19:F19"/>
    <mergeCell ref="C14:F14"/>
    <mergeCell ref="C13:F13"/>
    <mergeCell ref="A2:F2"/>
    <mergeCell ref="C9:F9"/>
    <mergeCell ref="C22:F22"/>
    <mergeCell ref="C23:F23"/>
    <mergeCell ref="C8:F8"/>
    <mergeCell ref="C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11</vt:i4>
      </vt:variant>
    </vt:vector>
  </HeadingPairs>
  <TitlesOfParts>
    <vt:vector size="11" baseType="lpstr">
      <vt:lpstr>1 · Summary</vt:lpstr>
      <vt:lpstr>2 · Investment</vt:lpstr>
      <vt:lpstr>3 · Timeline</vt:lpstr>
      <vt:lpstr>4 · Requirements</vt:lpstr>
      <vt:lpstr>5 · Risk register</vt:lpstr>
      <vt:lpstr>6 · ROI</vt:lpstr>
      <vt:lpstr>12 · Alternatives</vt:lpstr>
      <vt:lpstr>Alt 1 — Own ASIC</vt:lpstr>
      <vt:lpstr>Alt 2 — FPGA</vt:lpstr>
      <vt:lpstr>Alt 3 — ConnectX NIC</vt:lpstr>
      <vt:lpstr>Alt 4 — BlueField-3 (chosen)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Barak Rozenfeld</cp:lastModifiedBy>
  <dcterms:created xsi:type="dcterms:W3CDTF">2026-10-06T14:42:10Z</dcterms:created>
  <dcterms:modified xsi:type="dcterms:W3CDTF">2026-10-24T12:30:19Z</dcterms:modified>
</cp:coreProperties>
</file>