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1 · Summary" sheetId="1" state="visible" r:id="rId1"/>
    <sheet name="2 · Investment" sheetId="2" state="visible" r:id="rId2"/>
    <sheet name="3 · Timeline" sheetId="3" state="visible" r:id="rId3"/>
    <sheet name="4 · Requirements" sheetId="4" state="visible" r:id="rId4"/>
    <sheet name="5 · Risk register" sheetId="5" state="visible" r:id="rId5"/>
    <sheet name="6 · ROI" sheetId="6" state="visible" r:id="rId6"/>
    <sheet name="12 · Alternatives" sheetId="7" state="visible" r:id="rId7"/>
    <sheet name="Alt 1 — Own ASIC" sheetId="8" state="visible" r:id="rId8"/>
    <sheet name="Alt 2 — FPGA" sheetId="9" state="visible" r:id="rId9"/>
    <sheet name="Alt 3 — ConnectX NIC" sheetId="10" state="visible" r:id="rId10"/>
    <sheet name="Alt 4 — BlueField-3 (chosen)" sheetId="11" state="visible" r:id="rId11"/>
    <sheet name="PoC — detail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"/>
    <numFmt numFmtId="166" formatCode="0.0%"/>
    <numFmt numFmtId="167" formatCode="\$#,##0"/>
    <numFmt numFmtId="168" formatCode="$#,##0"/>
  </numFmts>
  <fonts count="31">
    <font>
      <name val="Arial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i val="1"/>
      <color rgb="FF6B7280"/>
      <sz val="9"/>
    </font>
    <font>
      <name val="Calibri"/>
      <b val="1"/>
      <color rgb="FFFFFFFF"/>
      <sz val="10"/>
    </font>
    <font>
      <name val="Calibri"/>
      <b val="1"/>
      <color rgb="FF23272F"/>
      <sz val="10"/>
    </font>
    <font>
      <name val="Calibri"/>
      <color rgb="FF23272F"/>
      <sz val="10"/>
    </font>
    <font>
      <name val="Calibri"/>
      <color rgb="FF2563C9"/>
      <sz val="9"/>
      <u val="single"/>
    </font>
    <font>
      <name val="Calibri"/>
      <b val="1"/>
      <color rgb="FFE40C5B"/>
      <sz val="11"/>
    </font>
    <font>
      <name val="Calibri"/>
      <b val="1"/>
      <color rgb="FF23272F"/>
      <sz val="11"/>
    </font>
    <font>
      <name val="Calibri"/>
      <b val="1"/>
      <color rgb="FFFFFFFF"/>
      <sz val="11"/>
    </font>
    <font>
      <name val="Calibri"/>
      <b val="1"/>
      <color rgb="FFE40C5B"/>
      <sz val="10"/>
    </font>
    <font>
      <name val="Calibri"/>
      <color rgb="FF23272F"/>
      <sz val="9"/>
    </font>
    <font>
      <name val="Calibri"/>
      <b val="1"/>
      <color rgb="FFE40C5B"/>
      <sz val="9"/>
    </font>
    <font>
      <name val="Calibri"/>
      <i val="1"/>
      <color rgb="FF6B7280"/>
      <sz val="8"/>
    </font>
    <font>
      <name val="Calibri"/>
      <color rgb="FF6B7280"/>
      <sz val="9"/>
    </font>
    <font>
      <name val="Arial"/>
      <b val="1"/>
      <sz val="13"/>
    </font>
    <font>
      <name val="Arial"/>
      <i val="1"/>
      <color rgb="FF7F7F7F"/>
      <sz val="9"/>
    </font>
    <font>
      <name val="Arial"/>
      <b val="1"/>
      <color rgb="FF595959"/>
      <sz val="9"/>
    </font>
    <font>
      <name val="Arial"/>
      <b val="1"/>
      <sz val="10"/>
    </font>
    <font>
      <name val="Arial"/>
      <sz val="10"/>
    </font>
    <font>
      <name val="Arial"/>
      <color rgb="FF595959"/>
      <sz val="9"/>
    </font>
    <font>
      <name val="Arial"/>
      <b val="1"/>
      <color rgb="FFFFFFFF"/>
      <sz val="10"/>
    </font>
    <font>
      <name val="Arial"/>
      <b val="1"/>
      <sz val="11"/>
    </font>
    <font>
      <b val="1"/>
      <color rgb="00FFFFFF"/>
      <sz val="10"/>
    </font>
    <font>
      <color rgb="00595959"/>
      <sz val="9"/>
    </font>
    <font>
      <b val="1"/>
      <color rgb="00595959"/>
      <sz val="9"/>
    </font>
    <font>
      <sz val="10"/>
    </font>
    <font>
      <b val="1"/>
      <sz val="10"/>
    </font>
    <font>
      <b val="1"/>
      <sz val="13"/>
    </font>
    <font>
      <i val="1"/>
      <color rgb="007F7F7F"/>
      <sz val="9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FF2F3540"/>
      </patternFill>
    </fill>
    <fill>
      <patternFill patternType="solid">
        <fgColor rgb="FF474E5A"/>
      </patternFill>
    </fill>
    <fill>
      <patternFill patternType="solid">
        <fgColor rgb="FFFFFFFF"/>
      </patternFill>
    </fill>
    <fill>
      <patternFill patternType="solid">
        <fgColor rgb="FFEFF1F4"/>
      </patternFill>
    </fill>
    <fill>
      <patternFill patternType="solid">
        <fgColor rgb="FFF5F6F8"/>
      </patternFill>
    </fill>
    <fill>
      <patternFill patternType="solid">
        <fgColor rgb="FFFFF4D8"/>
      </patternFill>
    </fill>
    <fill>
      <patternFill patternType="solid">
        <fgColor rgb="FFF4D4DD"/>
      </patternFill>
    </fill>
    <fill>
      <patternFill patternType="solid">
        <fgColor rgb="FFF7E6CB"/>
      </patternFill>
    </fill>
    <fill>
      <patternFill patternType="solid">
        <fgColor rgb="FFDCEDE2"/>
      </patternFill>
    </fill>
    <fill>
      <patternFill patternType="solid">
        <fgColor rgb="FFEDE7F0"/>
      </patternFill>
    </fill>
    <fill>
      <patternFill patternType="solid">
        <fgColor rgb="FFFBEAEA"/>
      </patternFill>
    </fill>
    <fill>
      <patternFill patternType="solid">
        <fgColor rgb="FFE7F3EC"/>
      </patternFill>
    </fill>
    <fill>
      <patternFill patternType="solid">
        <fgColor rgb="FF43354B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0043354B"/>
      </patternFill>
    </fill>
    <fill>
      <patternFill patternType="solid">
        <fgColor rgb="00EDE7F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7F3EC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E40C5B"/>
      </bottom>
      <diagonal/>
    </border>
    <border>
      <left style="thin">
        <color rgb="FFE2E4E8"/>
      </left>
      <right style="thin">
        <color rgb="FFE2E4E8"/>
      </right>
      <top style="thin">
        <color rgb="FFE2E4E8"/>
      </top>
      <bottom style="thin">
        <color rgb="FFE2E4E8"/>
      </bottom>
      <diagonal/>
    </border>
    <border>
      <left/>
      <right/>
      <top/>
      <bottom style="thin">
        <color rgb="FFE40C5B"/>
      </bottom>
      <diagonal/>
    </border>
    <border>
      <left style="thin">
        <color rgb="FFE4C46A"/>
      </left>
      <right style="thin">
        <color rgb="FFE4C46A"/>
      </right>
      <top style="thin">
        <color rgb="FFE4C46A"/>
      </top>
      <bottom style="thin">
        <color rgb="FFE4C46A"/>
      </bottom>
      <diagonal/>
    </border>
    <border>
      <left style="thin">
        <color rgb="FFDCD5DA"/>
      </left>
      <right style="thin">
        <color rgb="FFDCD5DA"/>
      </right>
      <top/>
      <bottom/>
      <diagonal/>
    </border>
    <border>
      <left style="thin">
        <color rgb="FFDCD5DA"/>
      </left>
      <right style="thin">
        <color rgb="FFDCD5DA"/>
      </right>
      <top/>
      <bottom style="thin">
        <color rgb="FFDCD5DA"/>
      </bottom>
      <diagonal/>
    </border>
    <border>
      <left/>
      <right/>
      <top style="thin">
        <color rgb="FFE2E4E8"/>
      </top>
      <bottom style="thin">
        <color rgb="FFE2E4E8"/>
      </bottom>
      <diagonal/>
    </border>
    <border>
      <left/>
      <right style="thin">
        <color rgb="FFE2E4E8"/>
      </right>
      <top style="thin">
        <color rgb="FFE2E4E8"/>
      </top>
      <bottom style="thin">
        <color rgb="FFE2E4E8"/>
      </bottom>
      <diagonal/>
    </border>
    <border>
      <left style="thin">
        <color rgb="FFDCD5DA"/>
      </left>
      <right style="thin">
        <color rgb="FFDCD5DA"/>
      </right>
      <top style="thin">
        <color rgb="FFDCD5DA"/>
      </top>
      <bottom style="thin">
        <color rgb="FFDCD5DA"/>
      </bottom>
      <diagonal/>
    </border>
    <border>
      <left/>
      <right/>
      <top style="thin">
        <color rgb="FFE2E4E8"/>
      </top>
      <bottom/>
      <diagonal/>
    </border>
    <border>
      <left/>
      <right style="thin">
        <color rgb="FFE2E4E8"/>
      </right>
      <top style="thin">
        <color rgb="FFE2E4E8"/>
      </top>
      <bottom/>
      <diagonal/>
    </border>
    <border>
      <left style="thin">
        <color rgb="FFDCD5DA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164" fontId="3" fillId="3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top" wrapText="1" indent="1"/>
    </xf>
    <xf numFmtId="165" fontId="5" fillId="5" borderId="2" applyAlignment="1" pivotButton="0" quotePrefix="0" xfId="0">
      <alignment horizontal="left" vertical="top" wrapText="1" indent="1"/>
    </xf>
    <xf numFmtId="0" fontId="5" fillId="4" borderId="2" applyAlignment="1" pivotButton="0" quotePrefix="0" xfId="0">
      <alignment horizontal="left" vertical="top" wrapText="1" indent="1"/>
    </xf>
    <xf numFmtId="0" fontId="4" fillId="6" borderId="2" applyAlignment="1" pivotButton="0" quotePrefix="0" xfId="0">
      <alignment horizontal="left" vertical="top" wrapText="1" indent="1"/>
    </xf>
    <xf numFmtId="0" fontId="5" fillId="6" borderId="2" applyAlignment="1" pivotButton="0" quotePrefix="0" xfId="0">
      <alignment horizontal="left" vertical="top" wrapText="1" indent="1"/>
    </xf>
    <xf numFmtId="0" fontId="6" fillId="6" borderId="2" applyAlignment="1" pivotButton="0" quotePrefix="0" xfId="0">
      <alignment horizontal="left" vertical="top" wrapText="1" indent="1"/>
    </xf>
    <xf numFmtId="164" fontId="7" fillId="6" borderId="2" applyAlignment="1" pivotButton="0" quotePrefix="0" xfId="0">
      <alignment horizontal="center" vertical="top"/>
    </xf>
    <xf numFmtId="164" fontId="7" fillId="4" borderId="2" applyAlignment="1" pivotButton="0" quotePrefix="0" xfId="0">
      <alignment horizontal="center" vertical="top"/>
    </xf>
    <xf numFmtId="166" fontId="2" fillId="4" borderId="2" applyAlignment="1" pivotButton="0" quotePrefix="0" xfId="0">
      <alignment horizontal="left" vertical="top" wrapText="1" indent="1"/>
    </xf>
    <xf numFmtId="1" fontId="7" fillId="6" borderId="2" applyAlignment="1" pivotButton="0" quotePrefix="0" xfId="0">
      <alignment horizontal="center" vertical="top"/>
    </xf>
    <xf numFmtId="0" fontId="8" fillId="4" borderId="3" applyAlignment="1" pivotButton="0" quotePrefix="0" xfId="0">
      <alignment horizontal="left" vertical="center"/>
    </xf>
    <xf numFmtId="164" fontId="5" fillId="7" borderId="4" applyAlignment="1" pivotButton="0" quotePrefix="0" xfId="0">
      <alignment horizontal="left" vertical="top" wrapText="1" indent="1"/>
    </xf>
    <xf numFmtId="166" fontId="9" fillId="2" borderId="2" applyAlignment="1" pivotButton="0" quotePrefix="0" xfId="0">
      <alignment horizontal="center"/>
    </xf>
    <xf numFmtId="0" fontId="10" fillId="4" borderId="2" applyAlignment="1" pivotButton="0" quotePrefix="0" xfId="0">
      <alignment horizontal="left" vertical="top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 wrapText="1" indent="1"/>
    </xf>
    <xf numFmtId="0" fontId="11" fillId="4" borderId="2" applyAlignment="1" pivotButton="0" quotePrefix="0" xfId="0">
      <alignment horizontal="left" vertical="top" wrapText="1" indent="1"/>
    </xf>
    <xf numFmtId="0" fontId="7" fillId="5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top" wrapText="1" indent="1"/>
    </xf>
    <xf numFmtId="166" fontId="8" fillId="5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right" vertical="center" indent="1"/>
    </xf>
    <xf numFmtId="164" fontId="8" fillId="7" borderId="4" applyAlignment="1" pivotButton="0" quotePrefix="0" xfId="0">
      <alignment horizontal="center" vertical="center"/>
    </xf>
    <xf numFmtId="166" fontId="5" fillId="7" borderId="4" applyAlignment="1" pivotButton="0" quotePrefix="0" xfId="0">
      <alignment horizontal="left" vertical="top" wrapText="1" indent="1"/>
    </xf>
    <xf numFmtId="1" fontId="8" fillId="7" borderId="4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indent="1"/>
    </xf>
    <xf numFmtId="1" fontId="8" fillId="5" borderId="2" applyAlignment="1" pivotButton="0" quotePrefix="0" xfId="0">
      <alignment horizontal="center" vertical="center"/>
    </xf>
    <xf numFmtId="0" fontId="2" fillId="4" borderId="2" applyAlignment="1" pivotButton="0" quotePrefix="0" xfId="0">
      <alignment vertical="top" indent="1"/>
    </xf>
    <xf numFmtId="0" fontId="5" fillId="6" borderId="2" applyAlignment="1" pivotButton="0" quotePrefix="0" xfId="0">
      <alignment horizontal="center" vertical="top"/>
    </xf>
    <xf numFmtId="0" fontId="9" fillId="2" borderId="2" pivotButton="0" quotePrefix="0" xfId="0"/>
    <xf numFmtId="0" fontId="9" fillId="2" borderId="2" applyAlignment="1" pivotButton="0" quotePrefix="0" xfId="0">
      <alignment horizontal="center"/>
    </xf>
    <xf numFmtId="0" fontId="4" fillId="8" borderId="2" applyAlignment="1" pivotButton="0" quotePrefix="0" xfId="0">
      <alignment horizontal="center" vertical="top"/>
    </xf>
    <xf numFmtId="0" fontId="4" fillId="9" borderId="2" applyAlignment="1" pivotButton="0" quotePrefix="0" xfId="0">
      <alignment horizontal="center" vertical="top"/>
    </xf>
    <xf numFmtId="0" fontId="8" fillId="8" borderId="2" applyAlignment="1" pivotButton="0" quotePrefix="0" xfId="0">
      <alignment horizontal="center" vertical="top"/>
    </xf>
    <xf numFmtId="0" fontId="8" fillId="9" borderId="2" applyAlignment="1" pivotButton="0" quotePrefix="0" xfId="0">
      <alignment horizontal="center" vertical="top"/>
    </xf>
    <xf numFmtId="0" fontId="4" fillId="10" borderId="2" applyAlignment="1" pivotButton="0" quotePrefix="0" xfId="0">
      <alignment horizontal="center" vertical="top"/>
    </xf>
    <xf numFmtId="0" fontId="8" fillId="10" borderId="2" applyAlignment="1" pivotButton="0" quotePrefix="0" xfId="0">
      <alignment horizontal="center" vertical="top"/>
    </xf>
    <xf numFmtId="164" fontId="4" fillId="5" borderId="2" applyAlignment="1" pivotButton="0" quotePrefix="0" xfId="0">
      <alignment horizontal="center" vertical="center"/>
    </xf>
    <xf numFmtId="9" fontId="7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164" fontId="5" fillId="7" borderId="4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top" wrapText="1" indent="1"/>
    </xf>
    <xf numFmtId="3" fontId="5" fillId="7" borderId="4" applyAlignment="1" pivotButton="0" quotePrefix="0" xfId="0">
      <alignment horizontal="center" vertical="center"/>
    </xf>
    <xf numFmtId="9" fontId="5" fillId="7" borderId="4" applyAlignment="1" pivotButton="0" quotePrefix="0" xfId="0">
      <alignment horizontal="center" vertical="center"/>
    </xf>
    <xf numFmtId="1" fontId="5" fillId="7" borderId="4" applyAlignment="1" pivotButton="0" quotePrefix="0" xfId="0">
      <alignment horizontal="center" vertical="center"/>
    </xf>
    <xf numFmtId="3" fontId="5" fillId="5" borderId="2" applyAlignment="1" pivotButton="0" quotePrefix="0" xfId="0">
      <alignment horizontal="center" vertical="center"/>
    </xf>
    <xf numFmtId="9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 indent="1"/>
    </xf>
    <xf numFmtId="165" fontId="5" fillId="5" borderId="2" applyAlignment="1" pivotButton="0" quotePrefix="0" xfId="0">
      <alignment horizontal="center" vertical="center"/>
    </xf>
    <xf numFmtId="0" fontId="15" fillId="0" borderId="0" pivotButton="0" quotePrefix="0" xfId="0"/>
    <xf numFmtId="0" fontId="21" fillId="14" borderId="0" pivotButton="0" quotePrefix="0" xfId="0"/>
    <xf numFmtId="0" fontId="0" fillId="14" borderId="0" pivotButton="0" quotePrefix="0" xfId="0"/>
    <xf numFmtId="0" fontId="17" fillId="11" borderId="0" pivotButton="0" quotePrefix="0" xfId="0"/>
    <xf numFmtId="0" fontId="18" fillId="0" borderId="0" pivotButton="0" quotePrefix="0" xfId="0"/>
    <xf numFmtId="0" fontId="22" fillId="15" borderId="0" pivotButton="0" quotePrefix="0" xfId="0"/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22" fillId="13" borderId="0" pivotButton="0" quotePrefix="0" xfId="0"/>
    <xf numFmtId="0" fontId="17" fillId="11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12" borderId="0" applyAlignment="1" pivotButton="0" quotePrefix="0" xfId="0">
      <alignment vertical="top" wrapText="1"/>
    </xf>
    <xf numFmtId="0" fontId="18" fillId="13" borderId="0" applyAlignment="1" pivotButton="0" quotePrefix="0" xfId="0">
      <alignment vertical="top" wrapText="1"/>
    </xf>
    <xf numFmtId="0" fontId="19" fillId="13" borderId="0" applyAlignment="1" pivotButton="0" quotePrefix="0" xfId="0">
      <alignment vertical="top" wrapText="1"/>
    </xf>
    <xf numFmtId="167" fontId="18" fillId="16" borderId="0" pivotButton="0" quotePrefix="0" xfId="0"/>
    <xf numFmtId="167" fontId="18" fillId="15" borderId="0" pivotButton="0" quotePrefix="0" xfId="0"/>
    <xf numFmtId="1" fontId="18" fillId="16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4" borderId="2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0" fillId="0" borderId="8" pivotButton="0" quotePrefix="0" xfId="0"/>
    <xf numFmtId="0" fontId="2" fillId="0" borderId="2" applyAlignment="1" pivotButton="0" quotePrefix="0" xfId="0">
      <alignment horizontal="left" vertical="center" wrapText="1" indent="1"/>
    </xf>
    <xf numFmtId="0" fontId="9" fillId="2" borderId="2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8" fillId="4" borderId="3" applyAlignment="1" pivotButton="0" quotePrefix="0" xfId="0">
      <alignment horizontal="left" vertical="center"/>
    </xf>
    <xf numFmtId="0" fontId="0" fillId="0" borderId="3" pivotButton="0" quotePrefix="0" xfId="0"/>
    <xf numFmtId="0" fontId="10" fillId="4" borderId="2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vertical="top" wrapText="1"/>
    </xf>
    <xf numFmtId="0" fontId="8" fillId="0" borderId="3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top" wrapText="1" indent="1"/>
    </xf>
    <xf numFmtId="0" fontId="13" fillId="0" borderId="0" applyAlignment="1" pivotButton="0" quotePrefix="0" xfId="0">
      <alignment horizontal="left" indent="1"/>
    </xf>
    <xf numFmtId="0" fontId="4" fillId="6" borderId="9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3" fillId="4" borderId="2" applyAlignment="1" pivotButton="0" quotePrefix="0" xfId="0">
      <alignment horizontal="left" indent="1"/>
    </xf>
    <xf numFmtId="0" fontId="2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3" fillId="17" borderId="0" pivotButton="0" quotePrefix="0" xfId="0"/>
    <xf numFmtId="0" fontId="0" fillId="17" borderId="0" pivotButton="0" quotePrefix="0" xfId="0"/>
    <xf numFmtId="0" fontId="24" fillId="0" borderId="0" applyAlignment="1" pivotButton="0" quotePrefix="0" xfId="0">
      <alignment vertical="top" wrapText="1"/>
    </xf>
    <xf numFmtId="0" fontId="25" fillId="18" borderId="0" applyAlignment="1" pivotButton="0" quotePrefix="0" xfId="0">
      <alignment vertical="top" wrapText="1"/>
    </xf>
    <xf numFmtId="0" fontId="26" fillId="0" borderId="0" pivotButton="0" quotePrefix="0" xfId="0"/>
    <xf numFmtId="168" fontId="27" fillId="19" borderId="0" pivotButton="0" quotePrefix="0" xfId="0"/>
    <xf numFmtId="168" fontId="27" fillId="20" borderId="0" pivotButton="0" quotePrefix="0" xfId="0"/>
    <xf numFmtId="0" fontId="27" fillId="0" borderId="0" pivotButton="0" quotePrefix="0" xfId="0"/>
    <xf numFmtId="168" fontId="27" fillId="21" borderId="0" pivotButton="0" quotePrefix="0" xfId="0"/>
    <xf numFmtId="0" fontId="24" fillId="0" borderId="0" pivotButton="0" quotePrefix="0" xfId="0"/>
    <xf numFmtId="0" fontId="25" fillId="18" borderId="0" pivotButton="0" quotePrefix="0" xfId="0"/>
    <xf numFmtId="1" fontId="27" fillId="20" borderId="0" pivotButton="0" quotePrefix="0" xfId="0"/>
    <xf numFmtId="0" fontId="28" fillId="0" borderId="0" pivotButton="0" quotePrefix="0" xfId="0"/>
    <xf numFmtId="0" fontId="29" fillId="0" borderId="0" applyAlignment="1" pivotButton="0" quotePrefix="0" xfId="0">
      <alignment vertical="top" wrapText="1"/>
    </xf>
    <xf numFmtId="0" fontId="30" fillId="21" borderId="0" pivotButton="0" quotePrefix="0" xfId="0"/>
    <xf numFmtId="0" fontId="26" fillId="0" borderId="0" applyAlignment="1" pivotButton="0" quotePrefix="0" xfId="0">
      <alignment vertical="top" wrapText="1"/>
    </xf>
    <xf numFmtId="168" fontId="30" fillId="21" borderId="0" pivotButton="0" quotePrefix="0" xfId="0"/>
    <xf numFmtId="1" fontId="27" fillId="21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heckpoint.com/downloads/products/check-point-appliance-comparison-chart.pdf" TargetMode="External" Id="rId1" /><Relationship Type="http://schemas.openxmlformats.org/officeDocument/2006/relationships/hyperlink" Target="https://www.checkpoint.com/press-releases/check-point-redefines-ai-security-for-enterprises-with-ai-cloud-protect-powered-by-nvidia-bluefield/" TargetMode="External" Id="rId2" /><Relationship Type="http://schemas.openxmlformats.org/officeDocument/2006/relationships/hyperlink" Target="https://docs.nvidia.com/networking/display/bluefield3dpu" TargetMode="External" Id="rId3" /><Relationship Type="http://schemas.openxmlformats.org/officeDocument/2006/relationships/hyperlink" Target="https://www.checkpoint.com/downloads/products/check-point-appliance-comparison-chart.pdf" TargetMode="External" Id="rId4" /><Relationship Type="http://schemas.openxmlformats.org/officeDocument/2006/relationships/hyperlink" Target="https://docs.nvidia.com/networking/display/bluefield3dpu" TargetMode="External" Id="rId5" /><Relationship Type="http://schemas.openxmlformats.org/officeDocument/2006/relationships/hyperlink" Target="https://www.checkpoint.com/downloads/products/check-point-appliance-comparison-chart.pdf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heckpoint.com/downloads/products/check-point-appliance-comparison-chart.pdf" TargetMode="External" Id="rId1" /><Relationship Type="http://schemas.openxmlformats.org/officeDocument/2006/relationships/hyperlink" Target="https://docs.nvidia.com/networking/display/bluefield3dpu" TargetMode="External" Id="rId2" /><Relationship Type="http://schemas.openxmlformats.org/officeDocument/2006/relationships/hyperlink" Target="https://www.checkpoint.com/downloads/products/check-point-appliance-comparison-chart.pdf" TargetMode="External" Id="rId3" /><Relationship Type="http://schemas.openxmlformats.org/officeDocument/2006/relationships/hyperlink" Target="https://www.checkpoint.com/press-releases/check-point-redefines-ai-security-for-enterprises-with-ai-cloud-protect-powered-by-nvidia-bluefield/" TargetMode="External" Id="rId4" /><Relationship Type="http://schemas.openxmlformats.org/officeDocument/2006/relationships/hyperlink" Target="https://docs.nvidia.com/networking/display/bluefield3dpu" TargetMode="External" Id="rId5" /><Relationship Type="http://schemas.openxmlformats.org/officeDocument/2006/relationships/hyperlink" Target="https://www.checkpoint.com/downloads/products/check-point-appliance-comparison-chart.pdf" TargetMode="External" Id="rId6" /><Relationship Type="http://schemas.openxmlformats.org/officeDocument/2006/relationships/hyperlink" Target="https://csrc.nist.gov/projects/cryptographic-module-validation-program" TargetMode="External" Id="rId7" /><Relationship Type="http://schemas.openxmlformats.org/officeDocument/2006/relationships/hyperlink" Target="https://docs.nvidia.com/networking/display/bluefield3dpu" TargetMode="External" Id="rId8" /><Relationship Type="http://schemas.openxmlformats.org/officeDocument/2006/relationships/hyperlink" Target="https://docs.nvidia.com/networking/display/bluefield3dpu" TargetMode="External" Id="rId9" /><Relationship Type="http://schemas.openxmlformats.org/officeDocument/2006/relationships/hyperlink" Target="https://docs.nvidia.com/networking/display/bluefield3dpu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heckpoint.com/press-releases/check-point-redefines-ai-security-for-enterprises-with-ai-cloud-protect-powered-by-nvidia-bluefield/" TargetMode="External" Id="rId1" /><Relationship Type="http://schemas.openxmlformats.org/officeDocument/2006/relationships/hyperlink" Target="https://www.checkpoint.com/downloads/products/check-point-appliance-comparison-chart.pdf" TargetMode="External" Id="rId2" /><Relationship Type="http://schemas.openxmlformats.org/officeDocument/2006/relationships/hyperlink" Target="https://csrc.nist.gov/projects/cryptographic-module-validation-program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heckpoint.com/downloads/products/quantum-force-9800-datasheet.pdf" TargetMode="External" Id="rId1" /><Relationship Type="http://schemas.openxmlformats.org/officeDocument/2006/relationships/hyperlink" Target="https://www.checkpoint.com/downloads/products/check-point-appliance-comparison-chart.pdf" TargetMode="External" Id="rId2" /><Relationship Type="http://schemas.openxmlformats.org/officeDocument/2006/relationships/hyperlink" Target="https://www.checkpoint.com/downloads/products/check-point-appliance-comparison-chart.pdf" TargetMode="External" Id="rId3" /><Relationship Type="http://schemas.openxmlformats.org/officeDocument/2006/relationships/hyperlink" Target="https://www.checkpoint.com/press-releases/check-point-redefines-ai-security-for-enterprises-with-ai-cloud-protect-powered-by-nvidia-bluefield/" TargetMode="External" Id="rId4" /><Relationship Type="http://schemas.openxmlformats.org/officeDocument/2006/relationships/hyperlink" Target="https://docs.nvidia.com/networking/display/bluefield3dpu" TargetMode="External" Id="rId5" /><Relationship Type="http://schemas.openxmlformats.org/officeDocument/2006/relationships/hyperlink" Target="https://csrc.nist.gov/projects/cryptographic-module-validation-program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docs.nvidia.com/networking/display/bluefield3dpu" TargetMode="External" Id="rId1" /><Relationship Type="http://schemas.openxmlformats.org/officeDocument/2006/relationships/hyperlink" Target="https://www.checkpoint.com/downloads/products/check-point-appliance-comparison-chart.pdf" TargetMode="External" Id="rId2" /><Relationship Type="http://schemas.openxmlformats.org/officeDocument/2006/relationships/hyperlink" Target="https://www.checkpoint.com/press-releases/check-point-redefines-ai-security-for-enterprises-with-ai-cloud-protect-powered-by-nvidia-bluefield/" TargetMode="External" Id="rId3" /><Relationship Type="http://schemas.openxmlformats.org/officeDocument/2006/relationships/hyperlink" Target="https://csrc.nist.gov/projects/cryptographic-module-validation-progra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zoomScaleNormal="100" workbookViewId="0">
      <pane ySplit="4" topLeftCell="A5" activePane="bottomLeft" state="frozen"/>
      <selection pane="bottomLeft" activeCell="A1" sqref="A1:D1"/>
    </sheetView>
  </sheetViews>
  <sheetFormatPr baseColWidth="8" defaultRowHeight="14.25" customHeight="1"/>
  <cols>
    <col width="32" customWidth="1" style="79" min="1" max="1"/>
    <col width="24" customWidth="1" style="79" min="2" max="2"/>
    <col width="34" customWidth="1" style="79" min="3" max="3"/>
    <col width="46" customWidth="1" style="79" min="4" max="4"/>
  </cols>
  <sheetData>
    <row r="1" ht="30" customHeight="1" s="79">
      <c r="A1" s="71" t="inlineStr">
        <is>
          <t>Quantum Force 9000 — DPU Acceleration Card</t>
        </is>
      </c>
      <c r="B1" s="72" t="n"/>
      <c r="C1" s="72" t="n"/>
      <c r="D1" s="72" t="n"/>
    </row>
    <row r="2" ht="17.1" customHeight="1" s="79">
      <c r="A2" s="78" t="inlineStr">
        <is>
          <t>What it takes to deliver the solution · dynamic investment, risk &amp; delivery model (expanded from Slide 15)</t>
        </is>
      </c>
    </row>
    <row r="4" ht="27.95" customHeight="1" s="79">
      <c r="A4" s="1" t="inlineStr">
        <is>
          <t>Metric</t>
        </is>
      </c>
      <c r="B4" s="1" t="inlineStr">
        <is>
          <t>Value</t>
        </is>
      </c>
      <c r="C4" s="1" t="inlineStr">
        <is>
          <t>Basis / source</t>
        </is>
      </c>
      <c r="D4" s="1" t="inlineStr">
        <is>
          <t>Assumption</t>
        </is>
      </c>
    </row>
    <row r="5" ht="28.5" customHeight="1" s="79">
      <c r="A5" s="86" t="inlineStr">
        <is>
          <t>Objective</t>
        </is>
      </c>
      <c r="B5" s="3" t="inlineStr">
        <is>
          <t>TP+TLS: 10.1G → 25G+</t>
        </is>
      </c>
      <c r="C5" s="4" t="inlineStr">
        <is>
          <t>CP Appliance Comparison Chart 2026</t>
        </is>
      </c>
      <c r="D5" s="3" t="inlineStr">
        <is>
          <t>Lift Threat-Prevention throughput with TLS inspection on; PoC success gate</t>
        </is>
      </c>
    </row>
    <row r="6" ht="28.5" customHeight="1" s="79">
      <c r="A6" s="5" t="inlineStr">
        <is>
          <t>Approach</t>
        </is>
      </c>
      <c r="B6" s="6" t="inlineStr">
        <is>
          <t>Reuse NVIDIA BlueField-3 (DOCA)</t>
        </is>
      </c>
      <c r="C6" s="7" t="inlineStr">
        <is>
          <t>Check Point AI Cloud Protect (AIFF) press release</t>
        </is>
      </c>
      <c r="D6" s="6" t="inlineStr">
        <is>
          <t>Not an own ASIC and not a self-designed FPGA — fastest, lowest-risk path</t>
        </is>
      </c>
    </row>
    <row r="7">
      <c r="A7" s="86" t="inlineStr">
        <is>
          <t>Expected throughput multiple</t>
        </is>
      </c>
      <c r="B7" s="3" t="inlineStr">
        <is>
          <t>≈ 4× (10 → ~40G)</t>
        </is>
      </c>
      <c r="C7" s="4" t="inlineStr">
        <is>
          <t>NVIDIA BlueField-3 datasheet</t>
        </is>
      </c>
      <c r="D7" s="3" t="inlineStr">
        <is>
          <t>Ceiling then set by x86 policy processing</t>
        </is>
      </c>
    </row>
    <row r="8" ht="28.5" customHeight="1" s="79">
      <c r="A8" s="5" t="inlineStr">
        <is>
          <t>Loaded cost / engineer</t>
        </is>
      </c>
      <c r="B8" s="8">
        <f>'2 · Investment'!B16</f>
        <v/>
      </c>
      <c r="C8" s="7" t="inlineStr">
        <is>
          <t>Internal planning estimate</t>
        </is>
      </c>
      <c r="D8" s="6" t="inlineStr">
        <is>
          <t>Default rate; individual roles can differ (Investment · drill-down B)</t>
        </is>
      </c>
    </row>
    <row r="9" ht="15" customHeight="1" s="79">
      <c r="A9" s="86" t="inlineStr">
        <is>
          <t>Total investment (NRE)</t>
        </is>
      </c>
      <c r="B9" s="9">
        <f>'2 · Investment'!B9</f>
        <v/>
      </c>
      <c r="C9" s="10" t="inlineStr">
        <is>
          <t>Internal planning estimate</t>
        </is>
      </c>
      <c r="D9" s="3" t="inlineStr">
        <is>
          <t>Live link to the Investment total — changes with the inputs</t>
        </is>
      </c>
    </row>
    <row r="10" ht="15" customHeight="1" s="79">
      <c r="A10" s="5" t="inlineStr">
        <is>
          <t>R&amp;D team (FTE)</t>
        </is>
      </c>
      <c r="B10" s="11">
        <f>'2 · Investment'!B17</f>
        <v/>
      </c>
      <c r="C10" s="7" t="inlineStr">
        <is>
          <t>Internal planning estimate</t>
        </is>
      </c>
      <c r="D10" s="6" t="inlineStr">
        <is>
          <t>Fully-loaded; most sit on the offload boundary</t>
        </is>
      </c>
    </row>
    <row r="11">
      <c r="A11" s="86" t="inlineStr">
        <is>
          <t>Duration to GA (months)</t>
        </is>
      </c>
      <c r="B11" s="3">
        <f>'2 · Investment'!B18</f>
        <v/>
      </c>
      <c r="C11" s="10" t="inlineStr">
        <is>
          <t>Internal planning estimate</t>
        </is>
      </c>
      <c r="D11" s="3" t="inlineStr">
        <is>
          <t>Effort estimate, not a schedule commitment</t>
        </is>
      </c>
    </row>
    <row r="12">
      <c r="A12" s="5" t="inlineStr">
        <is>
          <t>Top risk</t>
        </is>
      </c>
      <c r="B12" s="6" t="inlineStr">
        <is>
          <t>Offload boundary (TP gain)</t>
        </is>
      </c>
      <c r="C12" s="7" t="inlineStr">
        <is>
          <t>Internal planning estimate</t>
        </is>
      </c>
      <c r="D12" s="6" t="inlineStr">
        <is>
          <t>Mitigated by a TLS-focused PoC gate before full commitment</t>
        </is>
      </c>
    </row>
    <row r="14" ht="20.1" customHeight="1" s="79">
      <c r="A14" s="81" t="inlineStr">
        <is>
          <t>Investment at a glance (live from the Investment sheet)</t>
        </is>
      </c>
      <c r="B14" s="82" t="n"/>
      <c r="C14" s="82" t="n"/>
      <c r="D14" s="82" t="n"/>
    </row>
    <row r="15" ht="27.95" customHeight="1" s="79">
      <c r="A15" s="1" t="inlineStr">
        <is>
          <t>Workstream</t>
        </is>
      </c>
      <c r="B15" s="1" t="inlineStr">
        <is>
          <t>Amount (USD)</t>
        </is>
      </c>
      <c r="C15" s="1" t="inlineStr">
        <is>
          <t>% of total</t>
        </is>
      </c>
      <c r="D15" s="1" t="inlineStr">
        <is>
          <t>Basis / source</t>
        </is>
      </c>
    </row>
    <row r="16" ht="15" customHeight="1" s="79">
      <c r="A16" s="86" t="inlineStr">
        <is>
          <t>R&amp;D · engineers × duration</t>
        </is>
      </c>
      <c r="B16" s="13">
        <f>'2 · Investment'!B5</f>
        <v/>
      </c>
      <c r="C16" s="14">
        <f>'2 · Investment'!C5</f>
        <v/>
      </c>
      <c r="D16" s="10" t="inlineStr">
        <is>
          <t>Internal planning estimate</t>
        </is>
      </c>
    </row>
    <row r="17" ht="15" customHeight="1" s="79">
      <c r="A17" s="5" t="inlineStr">
        <is>
          <t>HW engineering · thermal · FIPS</t>
        </is>
      </c>
      <c r="B17" s="13">
        <f>'2 · Investment'!B6</f>
        <v/>
      </c>
      <c r="C17" s="14">
        <f>'2 · Investment'!C6</f>
        <v/>
      </c>
      <c r="D17" s="4" t="inlineStr">
        <is>
          <t>CP Appliance Comparison Chart 2026</t>
        </is>
      </c>
    </row>
    <row r="18" ht="15" customHeight="1" s="79">
      <c r="A18" s="83" t="inlineStr">
        <is>
          <t>Dev kits · NVIDIA NRE</t>
        </is>
      </c>
      <c r="B18" s="13">
        <f>'2 · Investment'!B7</f>
        <v/>
      </c>
      <c r="C18" s="14">
        <f>'2 · Investment'!C7</f>
        <v/>
      </c>
      <c r="D18" s="4" t="inlineStr">
        <is>
          <t>NVIDIA BlueField-3 datasheet</t>
        </is>
      </c>
    </row>
    <row r="19" ht="15" customHeight="1" s="79">
      <c r="A19" s="5" t="inlineStr">
        <is>
          <t>GTM · launch</t>
        </is>
      </c>
      <c r="B19" s="13">
        <f>'2 · Investment'!B8</f>
        <v/>
      </c>
      <c r="C19" s="14">
        <f>'2 · Investment'!C8</f>
        <v/>
      </c>
      <c r="D19" s="10" t="inlineStr">
        <is>
          <t>Internal planning estimate</t>
        </is>
      </c>
    </row>
    <row r="20" ht="15" customHeight="1" s="79">
      <c r="A20" s="13" t="inlineStr">
        <is>
          <t>Total</t>
        </is>
      </c>
      <c r="B20" s="13">
        <f>'2 · Investment'!B9</f>
        <v/>
      </c>
      <c r="C20" s="14">
        <f>'2 · Investment'!C9</f>
        <v/>
      </c>
      <c r="D20" s="13" t="n"/>
    </row>
    <row r="22" ht="21.95" customHeight="1" s="79">
      <c r="A22" s="77" t="inlineStr">
        <is>
          <t>Throughput logic — which numbers are datasheet vs. estimate</t>
        </is>
      </c>
      <c r="B22" s="74" t="n"/>
      <c r="C22" s="74" t="n"/>
      <c r="D22" s="75" t="n"/>
    </row>
    <row r="23" ht="26.1" customHeight="1" s="79">
      <c r="A23" s="73" t="inlineStr">
        <is>
          <t>9800 published (CP Appliance Chart 2026): 400G raw · 67.7G NGFW · 25G TP · 10.1G TP+TLS.  Only the final ~40G is an estimate — everything else is a datasheet number, and the multiples are just division.</t>
        </is>
      </c>
      <c r="B23" s="74" t="n"/>
      <c r="C23" s="74" t="n"/>
      <c r="D23" s="75" t="n"/>
    </row>
    <row r="24" ht="21.95" customHeight="1" s="79">
      <c r="A24" s="16" t="inlineStr">
        <is>
          <t>Step</t>
        </is>
      </c>
      <c r="B24" s="16" t="inlineStr">
        <is>
          <t>TP+TLS</t>
        </is>
      </c>
      <c r="C24" s="16" t="inlineStr">
        <is>
          <t>Datasheet / estimate</t>
        </is>
      </c>
      <c r="D24" s="16" t="inlineStr">
        <is>
          <t>How we get the number</t>
        </is>
      </c>
    </row>
    <row r="25" ht="26.1" customHeight="1" s="79">
      <c r="A25" s="4" t="inlineStr">
        <is>
          <t>Today — on the x86</t>
        </is>
      </c>
      <c r="B25" s="17" t="inlineStr">
        <is>
          <t>10.1G</t>
        </is>
      </c>
      <c r="C25" s="18" t="inlineStr">
        <is>
          <t>Datasheet</t>
        </is>
      </c>
      <c r="D25" s="19" t="inlineStr">
        <is>
          <t>9800 "TP with HTTPS inspection" (published)</t>
        </is>
      </c>
    </row>
    <row r="26" ht="26.1" customHeight="1" s="79">
      <c r="A26" s="4" t="inlineStr">
        <is>
          <t>The TLS tax</t>
        </is>
      </c>
      <c r="B26" s="17" t="inlineStr">
        <is>
          <t>25G → 10.1G</t>
        </is>
      </c>
      <c r="C26" s="18" t="inlineStr">
        <is>
          <t>Datasheet</t>
        </is>
      </c>
      <c r="D26" s="19" t="inlineStr">
        <is>
          <t>TLS decrypt + inspect + re-encrypt on the x86 costs about 2.5x (25 / 10.1 = 2.48x)</t>
        </is>
      </c>
    </row>
    <row r="27" ht="26.1" customHeight="1" s="79">
      <c r="A27" s="4" t="inlineStr">
        <is>
          <t>Offload TLS → BF-3</t>
        </is>
      </c>
      <c r="B27" s="17" t="inlineStr">
        <is>
          <t>~25G</t>
        </is>
      </c>
      <c r="C27" s="18" t="inlineStr">
        <is>
          <t>Anchored to datasheet</t>
        </is>
      </c>
      <c r="D27" s="19" t="inlineStr">
        <is>
          <t>Removes the TLS tax -&gt; back to the 25G plain-TP ceiling</t>
        </is>
      </c>
    </row>
    <row r="28" ht="26.1" customHeight="1" s="79">
      <c r="A28" s="4" t="inlineStr">
        <is>
          <t>Offload IPS (RXP) → BF-3</t>
        </is>
      </c>
      <c r="B28" s="20" t="inlineStr">
        <is>
          <t>~40G</t>
        </is>
      </c>
      <c r="C28" s="21" t="inlineStr">
        <is>
          <t>Estimate (only soft number)</t>
        </is>
      </c>
      <c r="D28" s="19" t="inlineStr">
        <is>
          <t>Climbs above 25G TP toward the 67.7G NGFW number; ~40G, limited by x86 policy</t>
        </is>
      </c>
    </row>
    <row r="29" ht="26.1" customHeight="1" s="79">
      <c r="A29" s="4" t="inlineStr">
        <is>
          <t>Expected multiple</t>
        </is>
      </c>
      <c r="B29" s="20" t="inlineStr">
        <is>
          <t>≈ 4×</t>
        </is>
      </c>
      <c r="C29" s="18" t="inlineStr">
        <is>
          <t>Derived</t>
        </is>
      </c>
      <c r="D29" s="19" t="inlineStr">
        <is>
          <t>40 / 10.1 = 3.96x ~ 4x</t>
        </is>
      </c>
    </row>
    <row r="30" ht="26.1" customHeight="1" s="79">
      <c r="A30" s="4" t="inlineStr">
        <is>
          <t>PoC Go / No-Go gate</t>
        </is>
      </c>
      <c r="B30" s="20" t="inlineStr">
        <is>
          <t>25G+ (2.5×)</t>
        </is>
      </c>
      <c r="C30" s="18" t="inlineStr">
        <is>
          <t>Conservative target</t>
        </is>
      </c>
      <c r="D30" s="19" t="inlineStr">
        <is>
          <t>25 / 10.1 = 2.48x - just recover the TLS tax</t>
        </is>
      </c>
    </row>
    <row r="31" ht="39.95" customHeight="1" s="79">
      <c r="A31" s="76" t="inlineStr">
        <is>
          <t>Bottom line: 10.1G and 25G are the 9800’s own datasheet numbers; offloading TLS just returns you to 25G. Offloading IPS is the estimated step that adds the rest to ~40G — bounded above by the 67.7G NGFW figure and limited by x86 policy. The PoC validates that single soft number.</t>
        </is>
      </c>
      <c r="B31" s="74" t="n"/>
      <c r="C31" s="74" t="n"/>
      <c r="D31" s="75" t="n"/>
    </row>
    <row r="32" ht="21.95" customHeight="1" s="79"/>
    <row r="33" ht="21.95" customHeight="1" s="79">
      <c r="A33" s="80" t="inlineStr">
        <is>
          <t>Check Point Software Technologies · Confidential   |   Barak Rozenfeld · Senior PM Assignment 2026   |   Slide 15   |   Cream = editable input · grey = formula (recalculates).</t>
        </is>
      </c>
    </row>
  </sheetData>
  <mergeCells count="7">
    <mergeCell ref="A1:D1"/>
    <mergeCell ref="A23:D23"/>
    <mergeCell ref="A31:D31"/>
    <mergeCell ref="A22:D22"/>
    <mergeCell ref="A33:D33"/>
    <mergeCell ref="A2:D2"/>
    <mergeCell ref="A14:D14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D17" r:id="rId4"/>
    <hyperlink xmlns:r="http://schemas.openxmlformats.org/officeDocument/2006/relationships" ref="D18" r:id="rId5"/>
    <hyperlink xmlns:r="http://schemas.openxmlformats.org/officeDocument/2006/relationships" ref="D25" r:id="rId6"/>
  </hyperlink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zoomScaleNormal="100" workbookViewId="0">
      <pane ySplit="9" topLeftCell="A10" activePane="bottomLeft" state="frozen"/>
      <selection pane="bottomLeft" activeCell="A1" sqref="A1"/>
    </sheetView>
  </sheetViews>
  <sheetFormatPr baseColWidth="8" defaultRowHeight="14.25" customHeight="1"/>
  <cols>
    <col width="36" customWidth="1" style="79" min="1" max="1"/>
    <col width="16" customWidth="1" style="79" min="2" max="2"/>
    <col width="15" customWidth="1" style="79" min="3" max="3"/>
    <col width="16" customWidth="1" style="79" min="4" max="4"/>
    <col width="30" customWidth="1" style="79" min="5" max="5"/>
    <col width="46" customWidth="1" style="79" min="6" max="6"/>
  </cols>
  <sheetData>
    <row r="1" ht="30" customHeight="1" s="79">
      <c r="A1" s="71" t="inlineStr">
        <is>
          <t>Investment — dynamic cost model with drill-down</t>
        </is>
      </c>
      <c r="B1" s="72" t="n"/>
      <c r="C1" s="72" t="n"/>
      <c r="D1" s="72" t="n"/>
      <c r="E1" s="72" t="n"/>
      <c r="F1" s="72" t="n"/>
    </row>
    <row r="2" ht="17.1" customHeight="1" s="79">
      <c r="A2" s="78" t="inlineStr">
        <is>
          <t>Edit the cream cells (salary, overhead, quantities, unit costs, and the per-role engineer rates). Grey cells are formulas; totals roll up automatically. Each line shows its basis/source and assumption.</t>
        </is>
      </c>
    </row>
    <row r="3" ht="20.1" customHeight="1" s="79">
      <c r="A3" s="81" t="inlineStr">
        <is>
          <t>Cost summary  ·  rolls up from the drill-down blocks below</t>
        </is>
      </c>
      <c r="B3" s="82" t="n"/>
      <c r="C3" s="82" t="n"/>
      <c r="D3" s="82" t="n"/>
      <c r="E3" s="82" t="n"/>
      <c r="F3" s="82" t="n"/>
    </row>
    <row r="4" ht="27.95" customHeight="1" s="79">
      <c r="A4" s="86" t="inlineStr">
        <is>
          <t>Category</t>
        </is>
      </c>
      <c r="B4" s="1" t="inlineStr">
        <is>
          <t>Amount (USD)</t>
        </is>
      </c>
      <c r="C4" s="22" t="inlineStr">
        <is>
          <t>% of total</t>
        </is>
      </c>
      <c r="D4" s="16" t="n"/>
      <c r="E4" s="16" t="inlineStr">
        <is>
          <t>Basis / source</t>
        </is>
      </c>
      <c r="F4" s="16" t="inlineStr">
        <is>
          <t>Assumption</t>
        </is>
      </c>
    </row>
    <row r="5" ht="15" customHeight="1" s="79">
      <c r="A5" s="86" t="inlineStr">
        <is>
          <t>R&amp;D (engineers × role rate × years)</t>
        </is>
      </c>
      <c r="B5" s="23">
        <f>D27</f>
        <v/>
      </c>
      <c r="C5" s="22">
        <f>B5/$B$9</f>
        <v/>
      </c>
      <c r="D5" s="24" t="n"/>
      <c r="E5" s="18" t="inlineStr">
        <is>
          <t>Internal planning estimate</t>
        </is>
      </c>
      <c r="F5" s="24" t="inlineStr">
        <is>
          <t>Rolls up from the per-role build-up (drill-down B)</t>
        </is>
      </c>
    </row>
    <row r="6" ht="15" customHeight="1" s="79">
      <c r="A6" s="86" t="inlineStr">
        <is>
          <t>Hardware engineering · thermal · FIPS</t>
        </is>
      </c>
      <c r="B6" s="23">
        <f>D34</f>
        <v/>
      </c>
      <c r="C6" s="22">
        <f>B6/$B$9</f>
        <v/>
      </c>
      <c r="D6" s="24" t="n"/>
      <c r="E6" s="4" t="inlineStr">
        <is>
          <t>CP Appliance Comparison Chart 2026</t>
        </is>
      </c>
      <c r="F6" s="24" t="inlineStr">
        <is>
          <t>Mechanical/thermal, PSU validation, FIPS lab</t>
        </is>
      </c>
    </row>
    <row r="7" ht="15" customHeight="1" s="79">
      <c r="A7" s="83" t="inlineStr">
        <is>
          <t>Dev kits / NRE</t>
        </is>
      </c>
      <c r="B7" s="23">
        <f>D42</f>
        <v/>
      </c>
      <c r="C7" s="22">
        <f>B7/$B$9</f>
        <v/>
      </c>
      <c r="D7" s="24" t="n"/>
      <c r="E7" s="4" t="inlineStr">
        <is>
          <t>NVIDIA BlueField-3 datasheet</t>
        </is>
      </c>
      <c r="F7" s="24" t="inlineStr">
        <is>
          <t>BF-3 boards, DOCA, NVIDIA NRE, lab/test</t>
        </is>
      </c>
    </row>
    <row r="8" ht="30" customHeight="1" s="79">
      <c r="A8" s="1" t="inlineStr">
        <is>
          <t>GTM / launch</t>
        </is>
      </c>
      <c r="B8" s="1">
        <f>D49</f>
        <v/>
      </c>
      <c r="C8" s="1">
        <f>B8/$B$9</f>
        <v/>
      </c>
      <c r="D8" s="1" t="n"/>
      <c r="E8" s="1" t="inlineStr">
        <is>
          <t>Internal planning estimate</t>
        </is>
      </c>
      <c r="F8" s="1" t="inlineStr">
        <is>
          <t>Beta, launch, enablement, PoC support</t>
        </is>
      </c>
    </row>
    <row r="9" ht="28.5" customHeight="1" s="79">
      <c r="A9" s="86" t="inlineStr">
        <is>
          <t>Total</t>
        </is>
      </c>
      <c r="B9" s="3">
        <f>SUM(B5:B8)</f>
        <v/>
      </c>
      <c r="C9" s="10">
        <f>B9/$B$9</f>
        <v/>
      </c>
      <c r="D9" s="3" t="n"/>
      <c r="E9" s="4" t="n"/>
      <c r="F9" s="4" t="n"/>
    </row>
    <row r="10" ht="28.5" customHeight="1" s="79">
      <c r="A10" s="5" t="inlineStr">
        <is>
          <t>Hardware eng.</t>
        </is>
      </c>
      <c r="B10" s="3" t="inlineStr">
        <is>
          <t>Card bring-up · thermal · FIPS lab</t>
        </is>
      </c>
      <c r="C10" s="4" t="inlineStr">
        <is>
          <t>CP Appliance Comparison Chart 2026</t>
        </is>
      </c>
      <c r="D10" s="3" t="inlineStr">
        <is>
          <t>Mechanical/thermal design, PSU validation, FIPS 140-3 test lab</t>
        </is>
      </c>
      <c r="E10" s="4" t="n"/>
      <c r="F10" s="4" t="n"/>
    </row>
    <row r="11" ht="20.1" customHeight="1" s="79">
      <c r="A11" s="83" t="inlineStr">
        <is>
          <t>Drill-down A · R&amp;D engineer cost build-up</t>
        </is>
      </c>
      <c r="B11" s="74" t="n"/>
      <c r="C11" s="74" t="n"/>
      <c r="D11" s="74" t="n"/>
      <c r="E11" s="74" t="n"/>
      <c r="F11" s="75" t="n"/>
    </row>
    <row r="12" ht="27.95" customHeight="1" s="79">
      <c r="A12" s="5" t="inlineStr">
        <is>
          <t>Driver</t>
        </is>
      </c>
      <c r="B12" s="3" t="inlineStr">
        <is>
          <t>Value</t>
        </is>
      </c>
      <c r="C12" s="10" t="inlineStr">
        <is>
          <t>Unit</t>
        </is>
      </c>
      <c r="D12" s="3" t="n"/>
      <c r="E12" s="4" t="inlineStr">
        <is>
          <t>Basis / source</t>
        </is>
      </c>
      <c r="F12" s="4" t="inlineStr">
        <is>
          <t>Assumption</t>
        </is>
      </c>
    </row>
    <row r="13" ht="15" customHeight="1" s="79">
      <c r="A13" s="13" t="inlineStr">
        <is>
          <t>Base salary</t>
        </is>
      </c>
      <c r="B13" s="13" t="n">
        <v>170000</v>
      </c>
      <c r="C13" s="13" t="inlineStr">
        <is>
          <t>$ / year</t>
        </is>
      </c>
      <c r="D13" s="13" t="n"/>
      <c r="E13" s="13" t="inlineStr">
        <is>
          <t>Internal planning estimate</t>
        </is>
      </c>
      <c r="F13" s="13" t="inlineStr">
        <is>
          <t>Blended senior-engineer base salary</t>
        </is>
      </c>
    </row>
    <row r="14" ht="15" customHeight="1" s="79">
      <c r="A14" s="86" t="inlineStr">
        <is>
          <t>Overhead multiplier</t>
        </is>
      </c>
      <c r="B14" s="25" t="n">
        <v>0.4</v>
      </c>
      <c r="C14" s="24" t="inlineStr">
        <is>
          <t>× of salary</t>
        </is>
      </c>
      <c r="D14" s="24" t="n"/>
      <c r="E14" s="18" t="inlineStr">
        <is>
          <t>Internal planning estimate</t>
        </is>
      </c>
      <c r="F14" s="24" t="inlineStr">
        <is>
          <t>Benefits, facilities, management, G&amp;A</t>
        </is>
      </c>
    </row>
    <row r="15" ht="20.1" customHeight="1" s="79">
      <c r="A15" s="81" t="inlineStr">
        <is>
          <t>Tooling &amp; licenses</t>
        </is>
      </c>
      <c r="B15" s="13" t="n">
        <v>12000</v>
      </c>
      <c r="C15" s="24" t="inlineStr">
        <is>
          <t>$ / eng / yr</t>
        </is>
      </c>
      <c r="D15" s="24" t="n"/>
      <c r="E15" s="18" t="inlineStr">
        <is>
          <t>Internal planning estimate</t>
        </is>
      </c>
      <c r="F15" s="24" t="inlineStr">
        <is>
          <t>Dev tools, cloud, lab share per engineer</t>
        </is>
      </c>
    </row>
    <row r="16" ht="30" customHeight="1" s="79">
      <c r="A16" s="1" t="inlineStr">
        <is>
          <t>Default loaded cost / engineer</t>
        </is>
      </c>
      <c r="B16" s="1">
        <f>B13*(1+B14)+B15</f>
        <v/>
      </c>
      <c r="C16" s="1" t="inlineStr">
        <is>
          <t>$ / year</t>
        </is>
      </c>
      <c r="D16" s="1" t="n"/>
      <c r="E16" s="1" t="inlineStr">
        <is>
          <t>Internal planning estimate</t>
        </is>
      </c>
      <c r="F16" s="1" t="inlineStr">
        <is>
          <t>Default rate; each role in drill-down B defaults to this and can be tuned by seniority</t>
        </is>
      </c>
    </row>
    <row r="17" ht="28.5" customHeight="1" s="79">
      <c r="A17" s="3" t="inlineStr">
        <is>
          <t>Engineers (FTE)</t>
        </is>
      </c>
      <c r="B17" s="3" t="n">
        <v>12</v>
      </c>
      <c r="C17" s="4" t="inlineStr">
        <is>
          <t>FTE</t>
        </is>
      </c>
      <c r="D17" s="3" t="n"/>
      <c r="E17" s="4" t="inlineStr">
        <is>
          <t>Internal planning estimate</t>
        </is>
      </c>
      <c r="F17" s="4" t="inlineStr">
        <is>
          <t>Most sit on the CoreXL↔card offload boundary</t>
        </is>
      </c>
    </row>
    <row r="18" ht="28.5" customHeight="1" s="79">
      <c r="A18" s="3" t="inlineStr">
        <is>
          <t>Duration</t>
        </is>
      </c>
      <c r="B18" s="3" t="n">
        <v>18</v>
      </c>
      <c r="C18" s="10" t="inlineStr">
        <is>
          <t>months</t>
        </is>
      </c>
      <c r="D18" s="3" t="n"/>
      <c r="E18" s="4" t="inlineStr">
        <is>
          <t>Internal planning estimate</t>
        </is>
      </c>
      <c r="F18" s="4" t="inlineStr">
        <is>
          <t>Effort estimate to GA, not a schedule commitment</t>
        </is>
      </c>
    </row>
    <row r="19" ht="25.5" customHeight="1" s="79">
      <c r="A19" s="3" t="inlineStr">
        <is>
          <t>Duration (years)  =  months ÷ 12</t>
        </is>
      </c>
      <c r="B19" s="3">
        <f>B18/12</f>
        <v/>
      </c>
      <c r="C19" s="4" t="inlineStr">
        <is>
          <t>years</t>
        </is>
      </c>
      <c r="D19" s="3" t="n"/>
      <c r="E19" s="4" t="inlineStr">
        <is>
          <t>Internal planning estimate</t>
        </is>
      </c>
      <c r="F19" s="4" t="inlineStr">
        <is>
          <t>Forward factor used by the role table: cost = engineers × rate/yr × years</t>
        </is>
      </c>
    </row>
    <row r="20" ht="38.25" customHeight="1" s="79">
      <c r="A20" s="3" t="inlineStr">
        <is>
          <t>Validation / performance</t>
        </is>
      </c>
      <c r="B20" s="3" t="inlineStr">
        <is>
          <t>PoC, automation, perf &amp; regression</t>
        </is>
      </c>
      <c r="C20" s="10" t="inlineStr">
        <is>
          <t>Internal planning estimate</t>
        </is>
      </c>
      <c r="D20" s="3" t="inlineStr">
        <is>
          <t>Measures the real gain before full commitment</t>
        </is>
      </c>
      <c r="E20" s="4" t="n">
        <v>2</v>
      </c>
      <c r="F20" s="4">
        <f>$B$6</f>
        <v/>
      </c>
    </row>
    <row r="21" ht="20.1" customHeight="1" s="79">
      <c r="A21" s="86" t="inlineStr">
        <is>
          <t>Drill-down B · R&amp;D headcount by role (engineers should sum to the FTE above)</t>
        </is>
      </c>
      <c r="B21" s="74" t="n"/>
      <c r="C21" s="74" t="n"/>
      <c r="D21" s="74" t="n"/>
      <c r="E21" s="74" t="n"/>
      <c r="F21" s="75" t="n"/>
    </row>
    <row r="22" ht="27.95" customHeight="1" s="79">
      <c r="A22" s="16" t="inlineStr">
        <is>
          <t>Role</t>
        </is>
      </c>
      <c r="B22" s="16" t="inlineStr">
        <is>
          <t>Engineers</t>
        </is>
      </c>
      <c r="C22" s="16" t="inlineStr">
        <is>
          <t>Loaded $/yr · per person</t>
        </is>
      </c>
      <c r="D22" s="16" t="inlineStr">
        <is>
          <t>Cost (USD)</t>
        </is>
      </c>
      <c r="E22" s="16" t="inlineStr">
        <is>
          <t>Basis / source</t>
        </is>
      </c>
      <c r="F22" s="16" t="inlineStr">
        <is>
          <t>Assumption</t>
        </is>
      </c>
    </row>
    <row r="23" ht="25.5" customHeight="1" s="79">
      <c r="A23" s="24" t="inlineStr">
        <is>
          <t>DOCA bring-up / Gaia driver</t>
        </is>
      </c>
      <c r="B23" s="26" t="n">
        <v>3</v>
      </c>
      <c r="C23" s="24" t="n">
        <v>260000</v>
      </c>
      <c r="D23" s="27">
        <f>B23*C23*$B$19</f>
        <v/>
      </c>
      <c r="E23" s="4" t="inlineStr">
        <is>
          <t>Check Point AI Cloud Protect (AIFF) press release</t>
        </is>
      </c>
      <c r="F23" s="24" t="inlineStr">
        <is>
          <t>Driver/kernel specialists — rate above blended</t>
        </is>
      </c>
    </row>
    <row r="24" ht="15" customHeight="1" s="79">
      <c r="A24" s="24" t="inlineStr">
        <is>
          <t>Offload API / CoreXL (the core)</t>
        </is>
      </c>
      <c r="B24" s="26" t="n">
        <v>5</v>
      </c>
      <c r="C24" s="24" t="n">
        <v>260000</v>
      </c>
      <c r="D24" s="27">
        <f>B24*C24*$B$19</f>
        <v/>
      </c>
      <c r="E24" s="18" t="inlineStr">
        <is>
          <t>Internal planning estimate</t>
        </is>
      </c>
      <c r="F24" s="24" t="inlineStr">
        <is>
          <t>Senior core engineers — where most of the risk sits</t>
        </is>
      </c>
    </row>
    <row r="25" ht="15" customHeight="1" s="79">
      <c r="A25" s="91" t="inlineStr">
        <is>
          <t>Signature compiler (RXP)</t>
        </is>
      </c>
      <c r="B25" s="26" t="n">
        <v>2</v>
      </c>
      <c r="C25" s="24" t="n">
        <v>250000</v>
      </c>
      <c r="D25" s="27">
        <f>B25*C25*$B$19</f>
        <v/>
      </c>
      <c r="E25" s="4" t="inlineStr">
        <is>
          <t>NVIDIA BlueField-3 datasheet</t>
        </is>
      </c>
      <c r="F25" s="24" t="inlineStr">
        <is>
          <t>RXP / compiler specialists — blended rate</t>
        </is>
      </c>
    </row>
    <row r="26" ht="15" customHeight="1" s="79">
      <c r="A26" s="24" t="inlineStr">
        <is>
          <t>Validation / performance</t>
        </is>
      </c>
      <c r="B26" s="26" t="n">
        <v>2</v>
      </c>
      <c r="C26" s="24" t="n">
        <v>210000</v>
      </c>
      <c r="D26" s="27">
        <f>B26*C26*$B$19</f>
        <v/>
      </c>
      <c r="E26" s="18" t="inlineStr">
        <is>
          <t>Internal planning estimate</t>
        </is>
      </c>
      <c r="F26" s="24" t="inlineStr">
        <is>
          <t>QA / performance mix — below blended</t>
        </is>
      </c>
    </row>
    <row r="27" ht="25.5" customHeight="1" s="79">
      <c r="A27" s="86" t="inlineStr">
        <is>
          <t>Subtotal R&amp;D  ·  flows to the Cost summary (R&amp;D row)</t>
        </is>
      </c>
      <c r="B27" s="29">
        <f>SUM(B23:B26)</f>
        <v/>
      </c>
      <c r="C27" s="24" t="n"/>
      <c r="D27" s="27">
        <f>SUM(D23:D26)</f>
        <v/>
      </c>
      <c r="E27" s="24" t="n"/>
      <c r="F27" s="24" t="n"/>
    </row>
    <row r="29" ht="20.1" customHeight="1" s="79">
      <c r="A29" s="85" t="inlineStr">
        <is>
          <t>Drill-down C · Hardware engineering</t>
        </is>
      </c>
      <c r="B29" s="82" t="n"/>
      <c r="C29" s="82" t="n"/>
      <c r="D29" s="82" t="n"/>
      <c r="E29" s="82" t="n"/>
      <c r="F29" s="82" t="n"/>
    </row>
    <row r="30" ht="27.95" customHeight="1" s="79">
      <c r="A30" s="16" t="inlineStr">
        <is>
          <t>Item</t>
        </is>
      </c>
      <c r="B30" s="16" t="inlineStr">
        <is>
          <t>Qty</t>
        </is>
      </c>
      <c r="C30" s="16" t="inlineStr">
        <is>
          <t>Unit cost</t>
        </is>
      </c>
      <c r="D30" s="16" t="inlineStr">
        <is>
          <t>Cost (USD)</t>
        </is>
      </c>
      <c r="E30" s="16" t="inlineStr">
        <is>
          <t>Basis / source</t>
        </is>
      </c>
      <c r="F30" s="16" t="inlineStr">
        <is>
          <t>Assumption</t>
        </is>
      </c>
    </row>
    <row r="31" ht="15" customHeight="1" s="79">
      <c r="A31" s="86" t="inlineStr">
        <is>
          <t>Mechanical &amp; thermal design</t>
        </is>
      </c>
      <c r="B31" s="26" t="n">
        <v>1</v>
      </c>
      <c r="C31" s="13" t="n">
        <v>500000</v>
      </c>
      <c r="D31" s="27">
        <f>B31*C31</f>
        <v/>
      </c>
      <c r="E31" s="18" t="inlineStr">
        <is>
          <t>Internal planning estimate</t>
        </is>
      </c>
      <c r="F31" s="24" t="inlineStr">
        <is>
          <t>1RU airflow, chassis &amp; card mechanics</t>
        </is>
      </c>
    </row>
    <row r="32" ht="15" customHeight="1" s="79">
      <c r="A32" s="86" t="inlineStr">
        <is>
          <t>PSU / signal-integrity validation</t>
        </is>
      </c>
      <c r="B32" s="26" t="n">
        <v>1</v>
      </c>
      <c r="C32" s="13" t="n">
        <v>300000</v>
      </c>
      <c r="D32" s="27">
        <f>B32*C32</f>
        <v/>
      </c>
      <c r="E32" s="4" t="inlineStr">
        <is>
          <t>CP Appliance Comparison Chart 2026</t>
        </is>
      </c>
      <c r="F32" s="24" t="inlineStr">
        <is>
          <t>Electrical headroom for ~75W added</t>
        </is>
      </c>
    </row>
    <row r="33" ht="15" customHeight="1" s="79">
      <c r="A33" s="86" t="inlineStr">
        <is>
          <t>FIPS 140-3 lab &amp; certification</t>
        </is>
      </c>
      <c r="B33" s="26" t="n">
        <v>1</v>
      </c>
      <c r="C33" s="13" t="n">
        <v>400000</v>
      </c>
      <c r="D33" s="27">
        <f>B33*C33</f>
        <v/>
      </c>
      <c r="E33" s="4" t="inlineStr">
        <is>
          <t>NIST CMVP (FIPS 140-3)</t>
        </is>
      </c>
      <c r="F33" s="24" t="inlineStr">
        <is>
          <t>BF-3 crypto module already approved</t>
        </is>
      </c>
    </row>
    <row r="34" ht="15" customHeight="1" s="79">
      <c r="A34" s="86" t="inlineStr">
        <is>
          <t>Subtotal</t>
        </is>
      </c>
      <c r="B34" s="24" t="n"/>
      <c r="C34" s="24" t="n"/>
      <c r="D34" s="27">
        <f>SUM(D31:D33)</f>
        <v/>
      </c>
      <c r="E34" s="30" t="inlineStr">
        <is>
          <t>→ feeds the Cost summary</t>
        </is>
      </c>
      <c r="F34" s="24" t="n"/>
    </row>
    <row r="36" ht="20.1" customHeight="1" s="79">
      <c r="A36" s="85" t="inlineStr">
        <is>
          <t>Drill-down D · Dev kits / NRE</t>
        </is>
      </c>
      <c r="B36" s="82" t="n"/>
      <c r="C36" s="82" t="n"/>
      <c r="D36" s="82" t="n"/>
      <c r="E36" s="82" t="n"/>
      <c r="F36" s="82" t="n"/>
    </row>
    <row r="37" ht="27.95" customHeight="1" s="79">
      <c r="A37" s="16" t="inlineStr">
        <is>
          <t>Item</t>
        </is>
      </c>
      <c r="B37" s="16" t="inlineStr">
        <is>
          <t>Qty</t>
        </is>
      </c>
      <c r="C37" s="16" t="inlineStr">
        <is>
          <t>Unit cost</t>
        </is>
      </c>
      <c r="D37" s="16" t="inlineStr">
        <is>
          <t>Cost (USD)</t>
        </is>
      </c>
      <c r="E37" s="16" t="inlineStr">
        <is>
          <t>Basis / source</t>
        </is>
      </c>
      <c r="F37" s="16" t="inlineStr">
        <is>
          <t>Assumption</t>
        </is>
      </c>
    </row>
    <row r="38" ht="15" customHeight="1" s="79">
      <c r="A38" s="86" t="inlineStr">
        <is>
          <t>BF-3 development boards</t>
        </is>
      </c>
      <c r="B38" s="26" t="n">
        <v>10</v>
      </c>
      <c r="C38" s="13" t="n">
        <v>15000</v>
      </c>
      <c r="D38" s="27">
        <f>B38*C38</f>
        <v/>
      </c>
      <c r="E38" s="4" t="inlineStr">
        <is>
          <t>NVIDIA BlueField-3 datasheet</t>
        </is>
      </c>
      <c r="F38" s="24" t="inlineStr">
        <is>
          <t>Dev/test units for the engineering team</t>
        </is>
      </c>
    </row>
    <row r="39" ht="15" customHeight="1" s="79">
      <c r="A39" s="86" t="inlineStr">
        <is>
          <t>DOCA SDK / support</t>
        </is>
      </c>
      <c r="B39" s="26" t="n">
        <v>1</v>
      </c>
      <c r="C39" s="13" t="n">
        <v>120000</v>
      </c>
      <c r="D39" s="27">
        <f>B39*C39</f>
        <v/>
      </c>
      <c r="E39" s="4" t="inlineStr">
        <is>
          <t>NVIDIA BlueField-3 datasheet</t>
        </is>
      </c>
      <c r="F39" s="24" t="inlineStr">
        <is>
          <t>SDK, licenses and developer support</t>
        </is>
      </c>
    </row>
    <row r="40" ht="15" customHeight="1" s="79">
      <c r="A40" s="86" t="inlineStr">
        <is>
          <t>NVIDIA NRE / integration</t>
        </is>
      </c>
      <c r="B40" s="26" t="n">
        <v>1</v>
      </c>
      <c r="C40" s="13" t="n">
        <v>400000</v>
      </c>
      <c r="D40" s="27">
        <f>B40*C40</f>
        <v/>
      </c>
      <c r="E40" s="4" t="inlineStr">
        <is>
          <t>NVIDIA BlueField-3 datasheet</t>
        </is>
      </c>
      <c r="F40" s="24" t="inlineStr">
        <is>
          <t>Non-recurring engineering with NVIDIA</t>
        </is>
      </c>
    </row>
    <row r="41" ht="15" customHeight="1" s="79">
      <c r="A41" s="86" t="inlineStr">
        <is>
          <t>Lab / test equipment</t>
        </is>
      </c>
      <c r="B41" s="26" t="n">
        <v>1</v>
      </c>
      <c r="C41" s="13" t="n">
        <v>130000</v>
      </c>
      <c r="D41" s="27">
        <f>B41*C41</f>
        <v/>
      </c>
      <c r="E41" s="18" t="inlineStr">
        <is>
          <t>Internal planning estimate</t>
        </is>
      </c>
      <c r="F41" s="24" t="inlineStr">
        <is>
          <t>Traffic generators, TLS test harness</t>
        </is>
      </c>
    </row>
    <row r="42" ht="15" customHeight="1" s="79">
      <c r="A42" s="86" t="inlineStr">
        <is>
          <t>Subtotal</t>
        </is>
      </c>
      <c r="B42" s="24" t="n"/>
      <c r="C42" s="24" t="n"/>
      <c r="D42" s="27">
        <f>SUM(D38:D41)</f>
        <v/>
      </c>
      <c r="E42" s="30" t="inlineStr">
        <is>
          <t>→ feeds the Cost summary</t>
        </is>
      </c>
      <c r="F42" s="24" t="n"/>
    </row>
    <row r="44" ht="20.1" customHeight="1" s="79">
      <c r="A44" s="85" t="inlineStr">
        <is>
          <t>Drill-down E · GTM / launch</t>
        </is>
      </c>
      <c r="B44" s="82" t="n"/>
      <c r="C44" s="82" t="n"/>
      <c r="D44" s="82" t="n"/>
      <c r="E44" s="82" t="n"/>
      <c r="F44" s="82" t="n"/>
    </row>
    <row r="45" ht="27.95" customHeight="1" s="79">
      <c r="A45" s="16" t="inlineStr">
        <is>
          <t>Item</t>
        </is>
      </c>
      <c r="B45" s="16" t="inlineStr">
        <is>
          <t>Qty</t>
        </is>
      </c>
      <c r="C45" s="16" t="inlineStr">
        <is>
          <t>Unit cost</t>
        </is>
      </c>
      <c r="D45" s="16" t="inlineStr">
        <is>
          <t>Cost (USD)</t>
        </is>
      </c>
      <c r="E45" s="16" t="inlineStr">
        <is>
          <t>Basis / source</t>
        </is>
      </c>
      <c r="F45" s="16" t="inlineStr">
        <is>
          <t>Assumption</t>
        </is>
      </c>
    </row>
    <row r="46" ht="15" customHeight="1" s="79">
      <c r="A46" s="86" t="inlineStr">
        <is>
          <t>Beta / design-partner program</t>
        </is>
      </c>
      <c r="B46" s="26" t="n">
        <v>1</v>
      </c>
      <c r="C46" s="13" t="n">
        <v>300000</v>
      </c>
      <c r="D46" s="27">
        <f>B46*C46</f>
        <v/>
      </c>
      <c r="E46" s="18" t="inlineStr">
        <is>
          <t>Internal planning estimate</t>
        </is>
      </c>
      <c r="F46" s="24" t="inlineStr">
        <is>
          <t>Design partners before GA</t>
        </is>
      </c>
    </row>
    <row r="47" ht="15" customHeight="1" s="79">
      <c r="A47" s="86" t="inlineStr">
        <is>
          <t>Launch &amp; collateral</t>
        </is>
      </c>
      <c r="B47" s="26" t="n">
        <v>1</v>
      </c>
      <c r="C47" s="13" t="n">
        <v>200000</v>
      </c>
      <c r="D47" s="27">
        <f>B47*C47</f>
        <v/>
      </c>
      <c r="E47" s="18" t="inlineStr">
        <is>
          <t>Internal planning estimate</t>
        </is>
      </c>
      <c r="F47" s="24" t="inlineStr">
        <is>
          <t>Positioning, datasheets, web</t>
        </is>
      </c>
    </row>
    <row r="48" ht="15" customHeight="1" s="79">
      <c r="A48" s="86" t="inlineStr">
        <is>
          <t>Sales enablement &amp; PoC support</t>
        </is>
      </c>
      <c r="B48" s="26" t="n">
        <v>1</v>
      </c>
      <c r="C48" s="13" t="n">
        <v>200000</v>
      </c>
      <c r="D48" s="27">
        <f>B48*C48</f>
        <v/>
      </c>
      <c r="E48" s="18" t="inlineStr">
        <is>
          <t>Internal planning estimate</t>
        </is>
      </c>
      <c r="F48" s="24" t="inlineStr">
        <is>
          <t>Enablement + PoC engineering support</t>
        </is>
      </c>
    </row>
    <row r="49" ht="15" customHeight="1" s="79">
      <c r="A49" s="86" t="inlineStr">
        <is>
          <t>Subtotal</t>
        </is>
      </c>
      <c r="B49" s="24" t="n"/>
      <c r="C49" s="24" t="n"/>
      <c r="D49" s="27">
        <f>SUM(D46:D48)</f>
        <v/>
      </c>
      <c r="E49" s="30" t="inlineStr">
        <is>
          <t>→ feeds the Cost summary</t>
        </is>
      </c>
      <c r="F49" s="24" t="n"/>
    </row>
    <row r="51" ht="27.95" customHeight="1" s="79">
      <c r="A51" s="84" t="inlineStr">
        <is>
          <t>How to play with it: change any cream cell (Base salary, Overhead, Engineers, a per-role $/yr rate, a Qty or a Unit cost) — the grey Cost/Amount/% cells, the subtotals and the grand Total all recalculate, and the Summary sheet follows.</t>
        </is>
      </c>
    </row>
    <row r="53">
      <c r="A53" s="87" t="inlineStr">
        <is>
          <t>Check Point Software Technologies · Confidential   |   Barak Rozenfeld · Senior PM Assignment 2026   |   Slide 15   |   Cream = editable input · grey = formula (recalculates).</t>
        </is>
      </c>
    </row>
    <row r="55">
      <c r="A55" s="97" t="inlineStr">
        <is>
          <t>Phase split — what the $2.9M PoC covers vs the $4.3M to GA</t>
        </is>
      </c>
      <c r="B55" s="98" t="n"/>
      <c r="C55" s="98" t="n"/>
      <c r="D55" s="98" t="n"/>
      <c r="E55" s="98" t="n"/>
      <c r="F55" s="98" t="n"/>
    </row>
    <row r="56" ht="28" customHeight="1" s="79">
      <c r="A56" s="99" t="inlineStr">
        <is>
          <t>PoC = first ~6 months · success gate 25 Gbps+ under TLS · if the gate is missed, we stop before the $4.3M GA spend. The split is a phase allocation of the same $7.2M program above.</t>
        </is>
      </c>
    </row>
    <row r="57">
      <c r="A57" s="100" t="inlineStr">
        <is>
          <t>Category</t>
        </is>
      </c>
      <c r="B57" s="100" t="inlineStr">
        <is>
          <t>Total (USD)</t>
        </is>
      </c>
      <c r="C57" s="100" t="inlineStr">
        <is>
          <t>PoC phase (≤6 mo)</t>
        </is>
      </c>
      <c r="D57" s="100" t="inlineStr">
        <is>
          <t>GA phase (≤12 mo)</t>
        </is>
      </c>
      <c r="E57" s="100" t="inlineStr">
        <is>
          <t>Basis / what is spent in the PoC</t>
        </is>
      </c>
    </row>
    <row r="58">
      <c r="A58" s="101" t="inlineStr">
        <is>
          <t>R&amp;D (engineers × rate × time)</t>
        </is>
      </c>
      <c r="B58" s="102">
        <f>D27</f>
        <v/>
      </c>
      <c r="C58" s="102">
        <f>B69</f>
        <v/>
      </c>
      <c r="D58" s="102">
        <f>B58-C58</f>
        <v/>
      </c>
      <c r="E58" s="99" t="inlineStr">
        <is>
          <t>PoC runs a subset of the team — 10 eng × 6 mo (see build-up below)</t>
        </is>
      </c>
    </row>
    <row r="59">
      <c r="A59" s="101" t="inlineStr">
        <is>
          <t>Hardware eng · thermal · FIPS</t>
        </is>
      </c>
      <c r="B59" s="102">
        <f>D34</f>
        <v/>
      </c>
      <c r="C59" s="103" t="n">
        <v>600000</v>
      </c>
      <c r="D59" s="102">
        <f>B59-C59</f>
        <v/>
      </c>
      <c r="E59" s="99" t="inlineStr">
        <is>
          <t>Early thermal/mech work + FIPS 140-3 scoping during the PoC</t>
        </is>
      </c>
    </row>
    <row r="60">
      <c r="A60" s="101" t="inlineStr">
        <is>
          <t>Dev kits / NRE</t>
        </is>
      </c>
      <c r="B60" s="102">
        <f>D42</f>
        <v/>
      </c>
      <c r="C60" s="103" t="n">
        <v>650000</v>
      </c>
      <c r="D60" s="102">
        <f>B60-C60</f>
        <v/>
      </c>
      <c r="E60" s="99" t="inlineStr">
        <is>
          <t>BF-3 boards + DOCA + NVIDIA NRE + lab bought up-front for the PoC</t>
        </is>
      </c>
    </row>
    <row r="61">
      <c r="A61" s="101" t="inlineStr">
        <is>
          <t>GTM / launch</t>
        </is>
      </c>
      <c r="B61" s="102">
        <f>D49</f>
        <v/>
      </c>
      <c r="C61" s="103" t="n">
        <v>400000</v>
      </c>
      <c r="D61" s="102">
        <f>B61-C61</f>
        <v/>
      </c>
      <c r="E61" s="99" t="inlineStr">
        <is>
          <t>Design-partner prep + PoC engineering support</t>
        </is>
      </c>
    </row>
    <row r="62">
      <c r="A62" s="104" t="inlineStr">
        <is>
          <t>Total</t>
        </is>
      </c>
      <c r="B62" s="105">
        <f>SUM(B58:B61)</f>
        <v/>
      </c>
      <c r="C62" s="105">
        <f>SUM(C58:C61)</f>
        <v/>
      </c>
      <c r="D62" s="105">
        <f>SUM(D58:D61)</f>
        <v/>
      </c>
      <c r="E62" s="106" t="inlineStr">
        <is>
          <t>PoC ≈ $2.9M  ·  GA ≈ $4.3M  ·  total $7.2M</t>
        </is>
      </c>
    </row>
    <row r="64">
      <c r="A64" s="97" t="inlineStr">
        <is>
          <t>PoC R&amp;D build-up  ·  drives the R&amp;D PoC cell above</t>
        </is>
      </c>
      <c r="B64" s="98" t="n"/>
      <c r="C64" s="98" t="n"/>
      <c r="D64" s="98" t="n"/>
      <c r="E64" s="98" t="n"/>
      <c r="F64" s="98" t="n"/>
    </row>
    <row r="65">
      <c r="A65" s="107" t="inlineStr">
        <is>
          <t>Driver</t>
        </is>
      </c>
      <c r="B65" s="107" t="inlineStr">
        <is>
          <t>Value</t>
        </is>
      </c>
      <c r="C65" s="107" t="inlineStr">
        <is>
          <t>Unit</t>
        </is>
      </c>
      <c r="D65" s="107" t="inlineStr"/>
      <c r="E65" s="107" t="inlineStr">
        <is>
          <t>Note</t>
        </is>
      </c>
    </row>
    <row r="66">
      <c r="A66" s="101" t="inlineStr">
        <is>
          <t>Engineers (PoC)</t>
        </is>
      </c>
      <c r="B66" s="108" t="n">
        <v>10</v>
      </c>
      <c r="C66" s="106" t="inlineStr">
        <is>
          <t>FTE</t>
        </is>
      </c>
      <c r="E66" s="99" t="inlineStr">
        <is>
          <t>Focused subset — core offload + driver + perf</t>
        </is>
      </c>
    </row>
    <row r="67">
      <c r="A67" s="101" t="inlineStr">
        <is>
          <t>Duration (PoC)</t>
        </is>
      </c>
      <c r="B67" s="108" t="n">
        <v>6</v>
      </c>
      <c r="C67" s="106" t="inlineStr">
        <is>
          <t>months</t>
        </is>
      </c>
      <c r="E67" s="99" t="inlineStr">
        <is>
          <t>To the 25 Gbps+ gate</t>
        </is>
      </c>
    </row>
    <row r="68">
      <c r="A68" s="101" t="inlineStr">
        <is>
          <t>Loaded cost / engineer-month</t>
        </is>
      </c>
      <c r="B68" s="102">
        <f>B16/12</f>
        <v/>
      </c>
      <c r="C68" s="106" t="inlineStr">
        <is>
          <t>$ / mo</t>
        </is>
      </c>
      <c r="E68" s="99">
        <f> default loaded $/yr ÷ 12</f>
        <v/>
      </c>
    </row>
    <row r="69">
      <c r="A69" s="104" t="inlineStr">
        <is>
          <t>PoC R&amp;D  =  engineers × months × rate</t>
        </is>
      </c>
      <c r="B69" s="102">
        <f>B66*B67*B68</f>
        <v/>
      </c>
      <c r="C69" s="106" t="inlineStr">
        <is>
          <t>USD</t>
        </is>
      </c>
      <c r="E69" s="106" t="inlineStr">
        <is>
          <t>≈ $1.25M — flows up to the R&amp;D PoC cell</t>
        </is>
      </c>
    </row>
  </sheetData>
  <mergeCells count="20">
    <mergeCell ref="E62:F62"/>
    <mergeCell ref="E68:F68"/>
    <mergeCell ref="E67:F67"/>
    <mergeCell ref="A56:F56"/>
    <mergeCell ref="A3:F3"/>
    <mergeCell ref="A21:F21"/>
    <mergeCell ref="A2:F2"/>
    <mergeCell ref="E69:F69"/>
    <mergeCell ref="E60:F60"/>
    <mergeCell ref="A53:F53"/>
    <mergeCell ref="A29:F29"/>
    <mergeCell ref="E59:F59"/>
    <mergeCell ref="A44:F44"/>
    <mergeCell ref="E61:F61"/>
    <mergeCell ref="A11:F11"/>
    <mergeCell ref="A51:F51"/>
    <mergeCell ref="A36:F36"/>
    <mergeCell ref="A1:F1"/>
    <mergeCell ref="E66:F66"/>
    <mergeCell ref="E58:F58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C10" r:id="rId3"/>
    <hyperlink xmlns:r="http://schemas.openxmlformats.org/officeDocument/2006/relationships" ref="E23" r:id="rId4"/>
    <hyperlink xmlns:r="http://schemas.openxmlformats.org/officeDocument/2006/relationships" ref="E25" r:id="rId5"/>
    <hyperlink xmlns:r="http://schemas.openxmlformats.org/officeDocument/2006/relationships" ref="E32" r:id="rId6"/>
    <hyperlink xmlns:r="http://schemas.openxmlformats.org/officeDocument/2006/relationships" ref="E33" r:id="rId7"/>
    <hyperlink xmlns:r="http://schemas.openxmlformats.org/officeDocument/2006/relationships" ref="E38" r:id="rId8"/>
    <hyperlink xmlns:r="http://schemas.openxmlformats.org/officeDocument/2006/relationships" ref="E39" r:id="rId9"/>
    <hyperlink xmlns:r="http://schemas.openxmlformats.org/officeDocument/2006/relationships" ref="E40" r:id="rId10"/>
  </hyperlinks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RowHeight="14.25" customHeight="1"/>
  <cols>
    <col width="24" customWidth="1" style="79" min="1" max="1"/>
    <col width="44" customWidth="1" style="79" min="2" max="2"/>
    <col width="11" customWidth="1" style="79" min="3" max="3"/>
    <col width="14" customWidth="1" style="79" min="4" max="4"/>
    <col width="36" customWidth="1" style="79" min="5" max="5"/>
    <col width="34" customWidth="1" style="79" min="6" max="6"/>
    <col width="26" customWidth="1" style="79" min="7" max="7"/>
    <col width="40" customWidth="1" style="79" min="8" max="8"/>
  </cols>
  <sheetData>
    <row r="1" ht="30" customHeight="1" s="79">
      <c r="A1" s="71" t="inlineStr">
        <is>
          <t>Delivery timeline — 18-month effort (with PoC gate)</t>
        </is>
      </c>
      <c r="B1" s="72" t="n"/>
      <c r="C1" s="72" t="n"/>
      <c r="D1" s="72" t="n"/>
      <c r="E1" s="72" t="n"/>
      <c r="F1" s="72" t="n"/>
      <c r="G1" s="72" t="n"/>
      <c r="H1" s="72" t="n"/>
    </row>
    <row r="2" ht="17.1" customHeight="1" s="79">
      <c r="A2" s="78" t="inlineStr">
        <is>
          <t>Effort allocation (person-/calendar-months), not a committed schedule; phases overlap. The Proof of Concept is an integral Go/No-Go gate.</t>
        </is>
      </c>
    </row>
    <row r="4" ht="27.95" customHeight="1" s="79">
      <c r="A4" s="1" t="inlineStr">
        <is>
          <t>Phase</t>
        </is>
      </c>
      <c r="B4" s="1" t="inlineStr">
        <is>
          <t>Focus</t>
        </is>
      </c>
      <c r="C4" s="1" t="inlineStr">
        <is>
          <t>Effort (mo)</t>
        </is>
      </c>
      <c r="D4" s="1" t="inlineStr">
        <is>
          <t>Window</t>
        </is>
      </c>
      <c r="E4" s="1" t="inlineStr">
        <is>
          <t>Key deliverables</t>
        </is>
      </c>
      <c r="F4" s="1" t="inlineStr">
        <is>
          <t>Exit criterion / milestone</t>
        </is>
      </c>
      <c r="G4" s="1" t="inlineStr">
        <is>
          <t>Basis / source</t>
        </is>
      </c>
      <c r="H4" s="1" t="inlineStr">
        <is>
          <t>Assumption</t>
        </is>
      </c>
    </row>
    <row r="5" ht="28.5" customHeight="1" s="79">
      <c r="A5" s="86" t="inlineStr">
        <is>
          <t>DOCA bring-up</t>
        </is>
      </c>
      <c r="B5" s="3" t="inlineStr">
        <is>
          <t>Gaia driver + DOCA SDK on BF-3 (based on the AIFF gateway)</t>
        </is>
      </c>
      <c r="C5" s="4" t="n">
        <v>3</v>
      </c>
      <c r="D5" s="3" t="inlineStr">
        <is>
          <t>M0 – M3</t>
        </is>
      </c>
      <c r="E5" s="3" t="inlineStr">
        <is>
          <t>Driver loads; zero-copy DMA path</t>
        </is>
      </c>
      <c r="F5" s="3" t="inlineStr">
        <is>
          <t>Traffic passes through the card</t>
        </is>
      </c>
      <c r="G5" s="4" t="inlineStr">
        <is>
          <t>Check Point AI Cloud Protect (AIFF) press release</t>
        </is>
      </c>
      <c r="H5" s="3" t="inlineStr">
        <is>
          <t>Reuse the AIFF containerized gateway already on BF-3</t>
        </is>
      </c>
    </row>
    <row r="6" ht="28.5" customHeight="1" s="79">
      <c r="A6" s="5" t="inlineStr">
        <is>
          <t>Offload API (the core)</t>
        </is>
      </c>
      <c r="B6" s="6" t="inlineStr">
        <is>
          <t>CoreXL ↔ card API; TLS decrypt/re-encrypt + IPS offload</t>
        </is>
      </c>
      <c r="C6" s="31" t="n">
        <v>5</v>
      </c>
      <c r="D6" s="6" t="inlineStr">
        <is>
          <t>M3 – M8</t>
        </is>
      </c>
      <c r="E6" s="6" t="inlineStr">
        <is>
          <t>TLS offloaded to the DPU engines</t>
        </is>
      </c>
      <c r="F6" s="6" t="inlineStr">
        <is>
          <t>Offload path functional end-to-end</t>
        </is>
      </c>
      <c r="G6" s="7" t="inlineStr">
        <is>
          <t>Internal planning estimate</t>
        </is>
      </c>
      <c r="H6" s="6" t="inlineStr">
        <is>
          <t>Most of the engineers; the core technical work</t>
        </is>
      </c>
    </row>
    <row r="7" ht="28.5" customHeight="1" s="79">
      <c r="A7" s="83" t="inlineStr">
        <is>
          <t>Proof of Concept · TLS gate</t>
        </is>
      </c>
      <c r="B7" s="3" t="inlineStr">
        <is>
          <t>Measure the real TP+TLS gain on a 9800 + BF-3 before full commitment</t>
        </is>
      </c>
      <c r="C7" s="4" t="n">
        <v>2</v>
      </c>
      <c r="D7" s="3" t="inlineStr">
        <is>
          <t>M8 – M10</t>
        </is>
      </c>
      <c r="E7" s="3" t="inlineStr">
        <is>
          <t>Benchmarked 9800 + card under TLS inspection</t>
        </is>
      </c>
      <c r="F7" s="3" t="inlineStr">
        <is>
          <t>Go / No-Go gate: 25G+ TP under TLS</t>
        </is>
      </c>
      <c r="G7" s="4" t="inlineStr">
        <is>
          <t>CP Appliance Comparison Chart 2026</t>
        </is>
      </c>
      <c r="H7" s="3" t="inlineStr">
        <is>
          <t>De-risks the offload-boundary assumption before RXP/FIPS spend</t>
        </is>
      </c>
    </row>
    <row r="8" ht="25.5" customHeight="1" s="79">
      <c r="A8" s="5" t="inlineStr">
        <is>
          <t>RXP + FIPS</t>
        </is>
      </c>
      <c r="B8" s="6" t="inlineStr">
        <is>
          <t>IPS DB → RXP signature compiler; FIPS 140-3 filed early</t>
        </is>
      </c>
      <c r="C8" s="31" t="n">
        <v>4</v>
      </c>
      <c r="D8" s="6" t="inlineStr">
        <is>
          <t>M10 – M14</t>
        </is>
      </c>
      <c r="E8" s="6" t="inlineStr">
        <is>
          <t>~85% of signatures compiled; FIPS filed</t>
        </is>
      </c>
      <c r="F8" s="6" t="inlineStr">
        <is>
          <t>Hybrid IPS gain measured; FIPS in review</t>
        </is>
      </c>
      <c r="G8" s="7" t="inlineStr">
        <is>
          <t>NIST CMVP (FIPS 140-3)</t>
        </is>
      </c>
      <c r="H8" s="6" t="inlineStr">
        <is>
          <t>FIPS filed ~9 mo before GA; BF-3 crypto module approved</t>
        </is>
      </c>
    </row>
    <row r="9" ht="15" customHeight="1" s="79">
      <c r="A9" s="13" t="inlineStr">
        <is>
          <t>Beta → GA</t>
        </is>
      </c>
      <c r="B9" s="13" t="inlineStr">
        <is>
          <t>Design-partner beta, hardening, launch</t>
        </is>
      </c>
      <c r="C9" s="4" t="n">
        <v>4</v>
      </c>
      <c r="D9" s="13" t="inlineStr">
        <is>
          <t>M14 – M18</t>
        </is>
      </c>
      <c r="E9" s="13" t="inlineStr">
        <is>
          <t>Beta with design partners; GTM ready</t>
        </is>
      </c>
      <c r="F9" s="13" t="inlineStr">
        <is>
          <t>General Availability (GA)</t>
        </is>
      </c>
      <c r="G9" s="13" t="inlineStr">
        <is>
          <t>Internal planning estimate</t>
        </is>
      </c>
      <c r="H9" s="13" t="inlineStr">
        <is>
          <t>Design-partner program before GA</t>
        </is>
      </c>
    </row>
    <row r="10" ht="15" customHeight="1" s="79">
      <c r="A10" s="32" t="inlineStr">
        <is>
          <t>Total effort</t>
        </is>
      </c>
      <c r="B10" s="32" t="n"/>
      <c r="C10" s="33">
        <f>SUM(C5:C9)</f>
        <v/>
      </c>
      <c r="D10" s="32" t="n"/>
      <c r="E10" s="32" t="n"/>
      <c r="F10" s="32" t="n"/>
      <c r="G10" s="32" t="n"/>
      <c r="H10" s="32" t="n"/>
    </row>
    <row r="11" ht="15" customHeight="1" s="79">
      <c r="A11" s="24" t="inlineStr">
        <is>
          <t>Note: effort months sum to 18; calendar windows overlap. FIPS 140-3 is submitted ≈ 9 months before GA (not after).</t>
        </is>
      </c>
    </row>
    <row r="12" ht="30" customHeight="1" s="79">
      <c r="A12" s="84" t="inlineStr">
        <is>
          <t>Note: effort months sum to 18; calendar windows overlap. The PoC (M8–M10) is a Go/No-Go gate — the project only commits to RXP/FIPS spend after 25G+ under TLS is demonstrated. FIPS 140-3 is submitted ≈ 9 months before GA.</t>
        </is>
      </c>
    </row>
    <row r="13">
      <c r="A13" s="91" t="inlineStr">
        <is>
          <t>Check Point Software Technologies · Confidential   |   Barak Rozenfeld · Senior PM Assignment 2026   |   Session 1 · Slide 15 — What it takes to deliver the solution   |   Edit the yellow input cells; grey cells are formulas.</t>
        </is>
      </c>
    </row>
    <row r="14">
      <c r="A14" s="87" t="inlineStr">
        <is>
          <t>Check Point Software Technologies · Confidential   |   Barak Rozenfeld · Senior PM Assignment 2026   |   Slide 15   |   Cream = editable input · grey = formula (recalculates).</t>
        </is>
      </c>
    </row>
  </sheetData>
  <mergeCells count="4">
    <mergeCell ref="A12:H12"/>
    <mergeCell ref="A2:H2"/>
    <mergeCell ref="A14:H14"/>
    <mergeCell ref="A1:H1"/>
  </mergeCells>
  <hyperlinks>
    <hyperlink xmlns:r="http://schemas.openxmlformats.org/officeDocument/2006/relationships" ref="G5" r:id="rId1"/>
    <hyperlink xmlns:r="http://schemas.openxmlformats.org/officeDocument/2006/relationships" ref="G7" r:id="rId2"/>
    <hyperlink xmlns:r="http://schemas.openxmlformats.org/officeDocument/2006/relationships" ref="G8" r:id="rId3"/>
  </hyperlinks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zoomScaleNormal="100" workbookViewId="0">
      <pane ySplit="4" topLeftCell="A5" activePane="bottomLeft" state="frozen"/>
      <selection pane="bottomLeft" activeCell="A11" sqref="A11"/>
    </sheetView>
  </sheetViews>
  <sheetFormatPr baseColWidth="8" defaultRowHeight="14.25" customHeight="1"/>
  <cols>
    <col width="20" customWidth="1" style="79" min="1" max="1"/>
    <col width="24" customWidth="1" style="79" min="2" max="2"/>
    <col width="44" customWidth="1" style="79" min="3" max="3"/>
    <col width="22" customWidth="1" style="79" min="4" max="4"/>
    <col width="28" customWidth="1" style="79" min="5" max="5"/>
    <col width="44" customWidth="1" style="79" min="6" max="6"/>
  </cols>
  <sheetData>
    <row r="1" ht="30" customHeight="1" s="79">
      <c r="A1" s="71" t="inlineStr">
        <is>
          <t>Requirements to deliver</t>
        </is>
      </c>
      <c r="B1" s="72" t="n"/>
      <c r="C1" s="72" t="n"/>
      <c r="D1" s="72" t="n"/>
      <c r="E1" s="72" t="n"/>
      <c r="F1" s="72" t="n"/>
    </row>
    <row r="2" ht="18" customHeight="1" s="79">
      <c r="A2" s="78" t="inlineStr">
        <is>
          <t>Hardware, software/integration and product readiness — each with a target metric, its basis/source and the assumption to validate.</t>
        </is>
      </c>
    </row>
    <row r="4" ht="30" customHeight="1" s="79">
      <c r="A4" s="1" t="inlineStr">
        <is>
          <t>Domain</t>
        </is>
      </c>
      <c r="B4" s="1" t="inlineStr">
        <is>
          <t>Requirement</t>
        </is>
      </c>
      <c r="C4" s="1" t="inlineStr">
        <is>
          <t>Detail</t>
        </is>
      </c>
      <c r="D4" s="1" t="inlineStr">
        <is>
          <t>Target metric</t>
        </is>
      </c>
      <c r="E4" s="1" t="inlineStr">
        <is>
          <t>Basis / source</t>
        </is>
      </c>
      <c r="F4" s="1" t="inlineStr">
        <is>
          <t>Assumption / to validate</t>
        </is>
      </c>
    </row>
    <row r="5" ht="28.5" customHeight="1" s="79">
      <c r="A5" s="88" t="inlineStr">
        <is>
          <t>Hardware</t>
        </is>
      </c>
      <c r="B5" s="3" t="inlineStr">
        <is>
          <t>Form factor</t>
        </is>
      </c>
      <c r="C5" s="3" t="inlineStr">
        <is>
          <t>Acceleration card in one of the two network I/O slots of the 9700/9800</t>
        </is>
      </c>
      <c r="D5" s="3" t="inlineStr">
        <is>
          <t>1 of 2 I/O slots</t>
        </is>
      </c>
      <c r="E5" s="4" t="inlineStr">
        <is>
          <t>Quantum Force 9800 datasheet</t>
        </is>
      </c>
      <c r="F5" s="3" t="inlineStr">
        <is>
          <t>Check Point card model, not a generic PCIe x16 slot</t>
        </is>
      </c>
    </row>
    <row r="6" ht="28.5" customHeight="1" s="79">
      <c r="A6" s="89" t="n"/>
      <c r="B6" s="6" t="inlineStr">
        <is>
          <t>Power &amp; thermal</t>
        </is>
      </c>
      <c r="C6" s="6" t="inlineStr">
        <is>
          <t>~75W extra; verify PSU headroom and airflow in 1RU</t>
        </is>
      </c>
      <c r="D6" s="6" t="inlineStr">
        <is>
          <t>≤ ~75W added</t>
        </is>
      </c>
      <c r="E6" s="7" t="inlineStr">
        <is>
          <t>CP Appliance Comparison Chart 2026</t>
        </is>
      </c>
      <c r="F6" s="6" t="inlineStr">
        <is>
          <t>Early thermal sim; if no headroom → factory option next gen</t>
        </is>
      </c>
    </row>
    <row r="7" ht="28.5" customHeight="1" s="79">
      <c r="A7" s="90" t="n"/>
      <c r="B7" s="3" t="inlineStr">
        <is>
          <t>Data path</t>
        </is>
      </c>
      <c r="C7" s="3" t="inlineStr">
        <is>
          <t>Zero-copy DMA without degrading the firewall-path latency</t>
        </is>
      </c>
      <c r="D7" s="3" t="inlineStr">
        <is>
          <t>1.85µs FW path preserved</t>
        </is>
      </c>
      <c r="E7" s="4" t="inlineStr">
        <is>
          <t>CP Appliance Comparison Chart 2026</t>
        </is>
      </c>
      <c r="F7" s="3" t="inlineStr">
        <is>
          <t>DMA integration validated in PoC</t>
        </is>
      </c>
    </row>
    <row r="8" ht="28.5" customHeight="1" s="79">
      <c r="A8" s="88" t="inlineStr">
        <is>
          <t>Software &amp; integration</t>
        </is>
      </c>
      <c r="B8" s="6" t="inlineStr">
        <is>
          <t>Gaia driver + DOCA SDK</t>
        </is>
      </c>
      <c r="C8" s="6" t="inlineStr">
        <is>
          <t>Based on the AIFF containerized gateway, already on BF-3</t>
        </is>
      </c>
      <c r="D8" s="6" t="inlineStr">
        <is>
          <t>Reuse AIFF stack</t>
        </is>
      </c>
      <c r="E8" s="7" t="inlineStr">
        <is>
          <t>Check Point AI Cloud Protect (AIFF) press release</t>
        </is>
      </c>
      <c r="F8" s="6" t="inlineStr">
        <is>
          <t>Vendor relationship &amp; platform already in production</t>
        </is>
      </c>
    </row>
    <row r="9" ht="28.5" customHeight="1" s="79">
      <c r="A9" s="89" t="n"/>
      <c r="B9" s="3" t="inlineStr">
        <is>
          <t>Offload boundary</t>
        </is>
      </c>
      <c r="C9" s="3" t="inlineStr">
        <is>
          <t>The API between CoreXL and the card — most of the 12 engineers</t>
        </is>
      </c>
      <c r="D9" s="3" t="inlineStr">
        <is>
          <t>TP ≥ 25G under TLS</t>
        </is>
      </c>
      <c r="E9" s="10" t="inlineStr">
        <is>
          <t>Internal planning estimate</t>
        </is>
      </c>
      <c r="F9" s="3" t="inlineStr">
        <is>
          <t>Core technical risk; measured in the PoC</t>
        </is>
      </c>
    </row>
    <row r="10" ht="28.5" customHeight="1" s="79">
      <c r="A10" s="90" t="n"/>
      <c r="B10" s="6" t="inlineStr">
        <is>
          <t>Signature compiler</t>
        </is>
      </c>
      <c r="C10" s="6" t="inlineStr">
        <is>
          <t>Converting the IPS DB → RXP; metric is % of signatures that compile</t>
        </is>
      </c>
      <c r="D10" s="6" t="inlineStr">
        <is>
          <t>~85% signatures compile</t>
        </is>
      </c>
      <c r="E10" s="7" t="inlineStr">
        <is>
          <t>NVIDIA BlueField-3 datasheet</t>
        </is>
      </c>
      <c r="F10" s="6" t="inlineStr">
        <is>
          <t>Partial IPS acceptable — TLS offload delivers most of the gain</t>
        </is>
      </c>
    </row>
    <row r="11" ht="28.5" customHeight="1" s="79">
      <c r="A11" s="88" t="inlineStr">
        <is>
          <t>Product readiness</t>
        </is>
      </c>
      <c r="B11" s="3" t="inlineStr">
        <is>
          <t>Certification</t>
        </is>
      </c>
      <c r="C11" s="3" t="inlineStr">
        <is>
          <t>Maintain FIPS 140-3; assess the card’s impact on CC certification</t>
        </is>
      </c>
      <c r="D11" s="3" t="inlineStr">
        <is>
          <t>FIPS filed ~9 mo pre-GA</t>
        </is>
      </c>
      <c r="E11" s="4" t="inlineStr">
        <is>
          <t>NIST CMVP (FIPS 140-3)</t>
        </is>
      </c>
      <c r="F11" s="3" t="inlineStr">
        <is>
          <t>BF-3 already has an approved crypto module; submit early</t>
        </is>
      </c>
    </row>
    <row r="12" ht="28.5" customHeight="1" s="79">
      <c r="A12" s="89" t="n"/>
      <c r="B12" s="6" t="inlineStr">
        <is>
          <t>Customer experience</t>
        </is>
      </c>
      <c r="C12" s="6" t="inlineStr">
        <is>
          <t>No change to SmartConsole or to the existing security policy</t>
        </is>
      </c>
      <c r="D12" s="6" t="inlineStr">
        <is>
          <t>Zero policy change</t>
        </is>
      </c>
      <c r="E12" s="7" t="inlineStr">
        <is>
          <t>Internal planning estimate</t>
        </is>
      </c>
      <c r="F12" s="6" t="inlineStr">
        <is>
          <t>Transparent to existing deployments</t>
        </is>
      </c>
    </row>
    <row r="13">
      <c r="A13" s="90" t="n"/>
      <c r="B13" s="3" t="inlineStr">
        <is>
          <t>Launch</t>
        </is>
      </c>
      <c r="C13" s="3" t="inlineStr">
        <is>
          <t>Beta with design partners before GA</t>
        </is>
      </c>
      <c r="D13" s="3" t="inlineStr">
        <is>
          <t>Beta → GA</t>
        </is>
      </c>
      <c r="E13" s="10" t="inlineStr">
        <is>
          <t>Internal planning estimate</t>
        </is>
      </c>
      <c r="F13" s="3" t="inlineStr">
        <is>
          <t>Design-partner program defined</t>
        </is>
      </c>
    </row>
    <row r="15">
      <c r="A15" s="91" t="inlineStr">
        <is>
          <t>Check Point Software Technologies · Confidential   |   Barak Rozenfeld · Senior PM Assignment 2026   |   Session 1 · Slide 15 — What it takes to deliver the solution   |   Edit the yellow input cells; grey cells are formulas.</t>
        </is>
      </c>
      <c r="B15" s="74" t="n"/>
      <c r="C15" s="74" t="n"/>
      <c r="D15" s="74" t="n"/>
      <c r="E15" s="74" t="n"/>
      <c r="F15" s="75" t="n"/>
    </row>
  </sheetData>
  <mergeCells count="6">
    <mergeCell ref="A2:F2"/>
    <mergeCell ref="A8:A10"/>
    <mergeCell ref="A1:F1"/>
    <mergeCell ref="A11:A13"/>
    <mergeCell ref="A5:A7"/>
    <mergeCell ref="A15:F15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10" r:id="rId5"/>
    <hyperlink xmlns:r="http://schemas.openxmlformats.org/officeDocument/2006/relationships" ref="E11" r:id="rId6"/>
  </hyperlinks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RowHeight="14.25" customHeight="1"/>
  <cols>
    <col width="4" customWidth="1" style="79" min="1" max="1"/>
    <col width="26" customWidth="1" style="79" min="2" max="2"/>
    <col width="40" customWidth="1" style="79" min="3" max="3"/>
    <col width="11" customWidth="1" style="79" min="4" max="4"/>
    <col width="12" customWidth="1" style="79" min="5" max="5"/>
    <col width="8" customWidth="1" style="79" min="6" max="6"/>
    <col width="44" customWidth="1" style="79" min="7" max="7"/>
    <col width="20" customWidth="1" style="79" min="8" max="8"/>
    <col width="28" customWidth="1" style="79" min="9" max="9"/>
    <col width="22" customWidth="1" style="79" min="10" max="10"/>
  </cols>
  <sheetData>
    <row r="1" ht="30" customHeight="1" s="79">
      <c r="A1" s="71" t="inlineStr">
        <is>
          <t>Risk register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</row>
    <row r="2" ht="17.1" customHeight="1" s="79">
      <c r="A2" s="78" t="inlineStr">
        <is>
          <t>Severity × Likelihood (High=3, Medium=2, Low=1; Score = S×L). Each risk carries its basis/source, mitigation and a measurable target.</t>
        </is>
      </c>
    </row>
    <row r="4" ht="27.95" customHeight="1" s="79">
      <c r="A4" s="1" t="inlineStr">
        <is>
          <t>#</t>
        </is>
      </c>
      <c r="B4" s="1" t="inlineStr">
        <is>
          <t>Risk</t>
        </is>
      </c>
      <c r="C4" s="1" t="inlineStr">
        <is>
          <t>Description</t>
        </is>
      </c>
      <c r="D4" s="1" t="inlineStr">
        <is>
          <t>Severity</t>
        </is>
      </c>
      <c r="E4" s="1" t="inlineStr">
        <is>
          <t>Likelihood</t>
        </is>
      </c>
      <c r="F4" s="1" t="inlineStr">
        <is>
          <t>Score</t>
        </is>
      </c>
      <c r="G4" s="1" t="inlineStr">
        <is>
          <t>Mitigation</t>
        </is>
      </c>
      <c r="H4" s="1" t="inlineStr">
        <is>
          <t>Measurable target (KPI)</t>
        </is>
      </c>
      <c r="I4" s="1" t="inlineStr">
        <is>
          <t>Basis / source</t>
        </is>
      </c>
      <c r="J4" s="1" t="inlineStr">
        <is>
          <t>Owner</t>
        </is>
      </c>
    </row>
    <row r="5" ht="28.5" customHeight="1" s="79">
      <c r="A5" s="4" t="n">
        <v>1</v>
      </c>
      <c r="B5" s="86" t="inlineStr">
        <is>
          <t>Offload boundary</t>
        </is>
      </c>
      <c r="C5" s="3" t="inlineStr">
        <is>
          <t>Threat-Prevention throughput does not rise as expected once offloaded</t>
        </is>
      </c>
      <c r="D5" s="34" t="inlineStr">
        <is>
          <t>High</t>
        </is>
      </c>
      <c r="E5" s="35" t="inlineStr">
        <is>
          <t>Medium</t>
        </is>
      </c>
      <c r="F5" s="36" t="n">
        <v>6</v>
      </c>
      <c r="G5" s="3" t="inlineStr">
        <is>
          <t>A TLS-focused PoC gate that measures the real gain before full commitment</t>
        </is>
      </c>
      <c r="H5" s="3" t="inlineStr">
        <is>
          <t>25G+ under TLS</t>
        </is>
      </c>
      <c r="I5" s="10" t="inlineStr">
        <is>
          <t>Internal planning estimate</t>
        </is>
      </c>
      <c r="J5" s="3" t="inlineStr">
        <is>
          <t>R&amp;D</t>
        </is>
      </c>
    </row>
    <row r="6" ht="28.5" customHeight="1" s="79">
      <c r="A6" s="31" t="n">
        <v>2</v>
      </c>
      <c r="B6" s="5" t="inlineStr">
        <is>
          <t>Signature coverage on RXP</t>
        </is>
      </c>
      <c r="C6" s="6" t="inlineStr">
        <is>
          <t>Only part of the IPS signatures compile to RXP → partial IPS gain</t>
        </is>
      </c>
      <c r="D6" s="35" t="inlineStr">
        <is>
          <t>Medium</t>
        </is>
      </c>
      <c r="E6" s="35" t="inlineStr">
        <is>
          <t>Medium</t>
        </is>
      </c>
      <c r="F6" s="37" t="n">
        <v>4</v>
      </c>
      <c r="G6" s="6" t="inlineStr">
        <is>
          <t>Not dependent on IPS: TLS offload alone delivers most of the gain (hybrid)</t>
        </is>
      </c>
      <c r="H6" s="6" t="inlineStr">
        <is>
          <t>~85% signatures</t>
        </is>
      </c>
      <c r="I6" s="7" t="inlineStr">
        <is>
          <t>NVIDIA BlueField-3 datasheet</t>
        </is>
      </c>
      <c r="J6" s="6" t="inlineStr">
        <is>
          <t>R&amp;D</t>
        </is>
      </c>
    </row>
    <row r="7" ht="28.5" customHeight="1" s="79">
      <c r="A7" s="4" t="n">
        <v>3</v>
      </c>
      <c r="B7" s="86" t="inlineStr">
        <is>
          <t>Power / thermal in 1RU</t>
        </is>
      </c>
      <c r="C7" s="3" t="inlineStr">
        <is>
          <t>No electrical / airflow headroom for the card in the 1RU box</t>
        </is>
      </c>
      <c r="D7" s="35" t="inlineStr">
        <is>
          <t>Medium</t>
        </is>
      </c>
      <c r="E7" s="38" t="inlineStr">
        <is>
          <t>Low</t>
        </is>
      </c>
      <c r="F7" s="39" t="n">
        <v>2</v>
      </c>
      <c r="G7" s="3" t="inlineStr">
        <is>
          <t>Early thermal simulation; if no headroom → factory option next generation</t>
        </is>
      </c>
      <c r="H7" s="3" t="inlineStr">
        <is>
          <t>~75W added</t>
        </is>
      </c>
      <c r="I7" s="4" t="inlineStr">
        <is>
          <t>CP Appliance Comparison Chart 2026</t>
        </is>
      </c>
      <c r="J7" s="3" t="inlineStr">
        <is>
          <t>HW engineering</t>
        </is>
      </c>
    </row>
    <row r="8" ht="28.5" customHeight="1" s="79">
      <c r="A8" s="31" t="n">
        <v>4</v>
      </c>
      <c r="B8" s="5" t="inlineStr">
        <is>
          <t>Dependence on NVIDIA</t>
        </is>
      </c>
      <c r="C8" s="6" t="inlineStr">
        <is>
          <t>Single vendor in the data path</t>
        </is>
      </c>
      <c r="D8" s="35" t="inlineStr">
        <is>
          <t>Medium</t>
        </is>
      </c>
      <c r="E8" s="38" t="inlineStr">
        <is>
          <t>Low</t>
        </is>
      </c>
      <c r="F8" s="39" t="n">
        <v>2</v>
      </c>
      <c r="G8" s="6" t="inlineStr">
        <is>
          <t>Multi-year AIFF agreement + abstraction layer to switch vendors in gen 2</t>
        </is>
      </c>
      <c r="H8" s="6" t="inlineStr">
        <is>
          <t>2 vendor options</t>
        </is>
      </c>
      <c r="I8" s="7" t="inlineStr">
        <is>
          <t>Check Point AI Cloud Protect (AIFF) press release</t>
        </is>
      </c>
      <c r="J8" s="6" t="inlineStr">
        <is>
          <t>Product / Procurement</t>
        </is>
      </c>
    </row>
    <row r="9" ht="28.5" customHeight="1" s="79">
      <c r="A9" s="4" t="n">
        <v>5</v>
      </c>
      <c r="B9" s="86" t="inlineStr">
        <is>
          <t>FIPS / CC re-certification</t>
        </is>
      </c>
      <c r="C9" s="3" t="inlineStr">
        <is>
          <t>Re-certification risk for regulated customers</t>
        </is>
      </c>
      <c r="D9" s="38" t="inlineStr">
        <is>
          <t>Low</t>
        </is>
      </c>
      <c r="E9" s="38" t="inlineStr">
        <is>
          <t>Low</t>
        </is>
      </c>
      <c r="F9" s="39" t="n">
        <v>1</v>
      </c>
      <c r="G9" s="3" t="inlineStr">
        <is>
          <t>Early FIPS submission (not after GA); BF-3 already has an approved crypto module</t>
        </is>
      </c>
      <c r="H9" s="3" t="inlineStr">
        <is>
          <t>~9 mo before GA</t>
        </is>
      </c>
      <c r="I9" s="4" t="inlineStr">
        <is>
          <t>NIST CMVP (FIPS 140-3)</t>
        </is>
      </c>
      <c r="J9" s="3" t="inlineStr">
        <is>
          <t>Compliance</t>
        </is>
      </c>
    </row>
    <row r="11">
      <c r="A11" s="92" t="inlineStr">
        <is>
          <t>Legend — Severity/Likelihood: High (3) · Medium (2) · Low (1). Score 6 = red, 3–4 = amber, 1–2 = green. Risk severity ranking is a qualitative assessment.</t>
        </is>
      </c>
    </row>
    <row r="13">
      <c r="A13" s="91" t="inlineStr">
        <is>
          <t>Check Point Software Technologies · Confidential   |   Barak Rozenfeld · Senior PM Assignment 2026   |   Slide 15   |   Cream = editable input · grey = formula (recalculates).</t>
        </is>
      </c>
      <c r="B13" s="74" t="n"/>
      <c r="C13" s="74" t="n"/>
      <c r="D13" s="74" t="n"/>
      <c r="E13" s="74" t="n"/>
      <c r="F13" s="74" t="n"/>
      <c r="G13" s="74" t="n"/>
      <c r="H13" s="74" t="n"/>
      <c r="I13" s="74" t="n"/>
      <c r="J13" s="75" t="n"/>
    </row>
  </sheetData>
  <mergeCells count="4">
    <mergeCell ref="A1:J1"/>
    <mergeCell ref="A2:J2"/>
    <mergeCell ref="A13:J13"/>
    <mergeCell ref="A11:J11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</hyperlinks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zoomScaleNormal="100" workbookViewId="0">
      <pane ySplit="2" topLeftCell="A3" activePane="bottomLeft" state="frozen"/>
      <selection pane="bottomLeft" activeCell="A1" sqref="A1"/>
    </sheetView>
  </sheetViews>
  <sheetFormatPr baseColWidth="8" defaultRowHeight="14.25"/>
  <cols>
    <col width="38" customWidth="1" style="79" min="1" max="1"/>
    <col width="17" customWidth="1" style="79" min="2" max="2"/>
    <col width="16" customWidth="1" style="79" min="3" max="3"/>
    <col width="15" customWidth="1" style="79" min="4" max="4"/>
    <col width="30" customWidth="1" style="79" min="5" max="5"/>
    <col width="50" customWidth="1" style="79" min="6" max="6"/>
  </cols>
  <sheetData>
    <row r="1" ht="30" customHeight="1" s="79">
      <c r="A1" s="93" t="inlineStr">
        <is>
          <t>ROI — 3-year business case (expanded from Slide 16)</t>
        </is>
      </c>
      <c r="B1" s="72" t="n"/>
      <c r="C1" s="72" t="n"/>
      <c r="D1" s="72" t="n"/>
      <c r="E1" s="72" t="n"/>
      <c r="F1" s="72" t="n"/>
    </row>
    <row r="2" ht="27.95" customHeight="1" s="79">
      <c r="A2" s="80" t="inlineStr">
        <is>
          <t>Why the numbers, how they are built, and the sales assumptions (incl. 29100/29200 cannibalization). Cream = editable input · grey = formula. The one-time investment links live to the Investment sheet.</t>
        </is>
      </c>
    </row>
    <row r="4" ht="21.95" customHeight="1" s="79">
      <c r="A4" s="77" t="inlineStr">
        <is>
          <t>Headline — 3-year outcome (base vs. base + deal upside)</t>
        </is>
      </c>
      <c r="B4" s="74" t="n"/>
      <c r="C4" s="74" t="n"/>
      <c r="D4" s="74" t="n"/>
      <c r="E4" s="74" t="n"/>
      <c r="F4" s="75" t="n"/>
    </row>
    <row r="5" ht="24" customHeight="1" s="79">
      <c r="A5" s="16" t="inlineStr">
        <is>
          <t>Metric</t>
        </is>
      </c>
      <c r="B5" s="16" t="inlineStr">
        <is>
          <t>Base</t>
        </is>
      </c>
      <c r="C5" s="16" t="inlineStr">
        <is>
          <t>Base + upside</t>
        </is>
      </c>
      <c r="D5" s="16" t="n"/>
      <c r="E5" s="16" t="inlineStr">
        <is>
          <t>Basis / source</t>
        </is>
      </c>
      <c r="F5" s="16" t="inlineStr">
        <is>
          <t>Assumption</t>
        </is>
      </c>
    </row>
    <row r="6" ht="24" customHeight="1" s="79">
      <c r="A6" s="4" t="inlineStr">
        <is>
          <t>3-year revenue</t>
        </is>
      </c>
      <c r="B6" s="40">
        <f>B44</f>
        <v/>
      </c>
      <c r="C6" s="40">
        <f>C44</f>
        <v/>
      </c>
      <c r="D6" s="4" t="n"/>
      <c r="E6" s="19" t="inlineStr">
        <is>
          <t>Build-ups A &amp; B + upside deals</t>
        </is>
      </c>
      <c r="F6" s="18" t="inlineStr">
        <is>
          <t>Module revenue, plus DC/HQ deal revenue in the upside</t>
        </is>
      </c>
    </row>
    <row r="7" ht="24" customHeight="1" s="79">
      <c r="A7" s="4" t="inlineStr">
        <is>
          <t>Gross profit</t>
        </is>
      </c>
      <c r="B7" s="40">
        <f>B45</f>
        <v/>
      </c>
      <c r="C7" s="40">
        <f>C45</f>
        <v/>
      </c>
      <c r="D7" s="4" t="n"/>
      <c r="E7" s="19" t="inlineStr">
        <is>
          <t>Margins applied per line</t>
        </is>
      </c>
      <c r="F7" s="18" t="inlineStr">
        <is>
          <t>65% on modules, 60% on DC/HQ deals</t>
        </is>
      </c>
    </row>
    <row r="8" ht="24" customHeight="1" s="79">
      <c r="A8" s="4" t="inlineStr">
        <is>
          <t>Net contribution (3 yr)</t>
        </is>
      </c>
      <c r="B8" s="40">
        <f>B47</f>
        <v/>
      </c>
      <c r="C8" s="40">
        <f>C47</f>
        <v/>
      </c>
      <c r="D8" s="4" t="n"/>
      <c r="E8" s="19" t="inlineStr">
        <is>
          <t>Gross profit − cannibalization − investment</t>
        </is>
      </c>
      <c r="F8" s="18" t="inlineStr">
        <is>
          <t>One-time investment is a planning estimate</t>
        </is>
      </c>
    </row>
    <row r="9" ht="24" customHeight="1" s="79">
      <c r="A9" s="4" t="inlineStr">
        <is>
          <t>ROI (3 yr)</t>
        </is>
      </c>
      <c r="B9" s="41">
        <f>B48</f>
        <v/>
      </c>
      <c r="C9" s="41">
        <f>C48</f>
        <v/>
      </c>
      <c r="D9" s="4" t="n"/>
      <c r="E9" s="19" t="inlineStr">
        <is>
          <t>Net ÷ investment</t>
        </is>
      </c>
      <c r="F9" s="18" t="inlineStr">
        <is>
          <t>Net ÷ investment, net of cannibalization; deck shows ~189% / ~408% (sheet exact)</t>
        </is>
      </c>
    </row>
    <row r="10" ht="24" customHeight="1" s="79">
      <c r="A10" s="4" t="inlineStr">
        <is>
          <t>Break-even (months from GA)</t>
        </is>
      </c>
      <c r="B10" s="42" t="n">
        <v>16</v>
      </c>
      <c r="C10" s="43" t="inlineStr">
        <is>
          <t>—</t>
        </is>
      </c>
      <c r="D10" s="4" t="n"/>
      <c r="E10" s="19" t="inlineStr">
        <is>
          <t>Modules only</t>
        </is>
      </c>
      <c r="F10" s="18" t="inlineStr">
        <is>
          <t>Demand concentrated in year 1</t>
        </is>
      </c>
    </row>
    <row r="12" ht="21.95" customHeight="1" s="79">
      <c r="A12" s="77" t="inlineStr">
        <is>
          <t>Key inputs — editable (cream); each with its basis and assumption</t>
        </is>
      </c>
      <c r="B12" s="74" t="n"/>
      <c r="C12" s="74" t="n"/>
      <c r="D12" s="74" t="n"/>
      <c r="E12" s="74" t="n"/>
      <c r="F12" s="75" t="n"/>
    </row>
    <row r="13" ht="24" customHeight="1" s="79">
      <c r="A13" s="16" t="inlineStr">
        <is>
          <t>Driver</t>
        </is>
      </c>
      <c r="B13" s="16" t="inlineStr">
        <is>
          <t>Value</t>
        </is>
      </c>
      <c r="C13" s="16" t="inlineStr">
        <is>
          <t>Unit</t>
        </is>
      </c>
      <c r="D13" s="16" t="n"/>
      <c r="E13" s="16" t="inlineStr">
        <is>
          <t>Basis / source</t>
        </is>
      </c>
      <c r="F13" s="16" t="inlineStr">
        <is>
          <t>Assumption</t>
        </is>
      </c>
    </row>
    <row r="14" ht="24" customHeight="1" s="79">
      <c r="A14" s="4" t="inlineStr">
        <is>
          <t>Module price (ASP uplift)</t>
        </is>
      </c>
      <c r="B14" s="44" t="n">
        <v>15000</v>
      </c>
      <c r="C14" s="45" t="inlineStr">
        <is>
          <t>$ / module</t>
        </is>
      </c>
      <c r="D14" s="4" t="n"/>
      <c r="E14" s="19" t="inlineStr">
        <is>
          <t>IDC + Check Point IR, planning</t>
        </is>
      </c>
      <c r="F14" s="18" t="inlineStr">
        <is>
          <t>List before channel discount; the uplift added to a deal</t>
        </is>
      </c>
    </row>
    <row r="15" ht="24" customHeight="1" s="79">
      <c r="A15" s="4" t="inlineStr">
        <is>
          <t>Annual 9700/9800 shipments</t>
        </is>
      </c>
      <c r="B15" s="46" t="n">
        <v>1500</v>
      </c>
      <c r="C15" s="45" t="inlineStr">
        <is>
          <t>units / yr</t>
        </is>
      </c>
      <c r="D15" s="4" t="n"/>
      <c r="E15" s="19" t="inlineStr">
        <is>
          <t>IDC Security Appliance Tracker</t>
        </is>
      </c>
      <c r="F15" s="18" t="inlineStr">
        <is>
          <t>New-unit base the module attaches to</t>
        </is>
      </c>
    </row>
    <row r="16" ht="24" customHeight="1" s="79">
      <c r="A16" s="4" t="inlineStr">
        <is>
          <t>Attach rate — year 1</t>
        </is>
      </c>
      <c r="B16" s="47" t="n">
        <v>0.3</v>
      </c>
      <c r="C16" s="45" t="inlineStr">
        <is>
          <t>%</t>
        </is>
      </c>
      <c r="D16" s="4" t="n"/>
      <c r="E16" s="19" t="inlineStr">
        <is>
          <t>Planning</t>
        </is>
      </c>
      <c r="F16" s="18" t="inlineStr">
        <is>
          <t>Ramp start, first year after GA</t>
        </is>
      </c>
    </row>
    <row r="17" ht="24" customHeight="1" s="79">
      <c r="A17" s="4" t="inlineStr">
        <is>
          <t>Attach rate — year 2</t>
        </is>
      </c>
      <c r="B17" s="47" t="n">
        <v>0.4</v>
      </c>
      <c r="C17" s="45" t="inlineStr">
        <is>
          <t>%</t>
        </is>
      </c>
      <c r="D17" s="4" t="n"/>
      <c r="E17" s="19" t="inlineStr">
        <is>
          <t>Planning</t>
        </is>
      </c>
      <c r="F17" s="18" t="inlineStr">
        <is>
          <t>Mid ramp</t>
        </is>
      </c>
    </row>
    <row r="18" ht="24" customHeight="1" s="79">
      <c r="A18" s="4" t="inlineStr">
        <is>
          <t>Attach rate — year 3</t>
        </is>
      </c>
      <c r="B18" s="47" t="n">
        <v>0.5</v>
      </c>
      <c r="C18" s="45" t="inlineStr">
        <is>
          <t>%</t>
        </is>
      </c>
      <c r="D18" s="4" t="n"/>
      <c r="E18" s="19" t="inlineStr">
        <is>
          <t>Planning</t>
        </is>
      </c>
      <c r="F18" s="18" t="inlineStr">
        <is>
          <t>Mature attach rate</t>
        </is>
      </c>
    </row>
    <row r="19" ht="24" customHeight="1" s="79">
      <c r="A19" s="4" t="inlineStr">
        <is>
          <t>Installed-base upgrades (3 yr)</t>
        </is>
      </c>
      <c r="B19" s="46" t="n">
        <v>925</v>
      </c>
      <c r="C19" s="45" t="inlineStr">
        <is>
          <t>modules</t>
        </is>
      </c>
      <c r="D19" s="4" t="n"/>
      <c r="E19" s="19" t="inlineStr">
        <is>
          <t>Planning</t>
        </is>
      </c>
      <c r="F19" s="18" t="inlineStr">
        <is>
          <t>Share of the installed base upgrading; demand concentrated in year 1</t>
        </is>
      </c>
    </row>
    <row r="20" ht="24" customHeight="1" s="79">
      <c r="A20" s="4" t="inlineStr">
        <is>
          <t>Gross margin — module</t>
        </is>
      </c>
      <c r="B20" s="47" t="n">
        <v>0.65</v>
      </c>
      <c r="C20" s="45" t="inlineStr">
        <is>
          <t>%</t>
        </is>
      </c>
      <c r="D20" s="4" t="n"/>
      <c r="E20" s="19" t="inlineStr">
        <is>
          <t>Check Point product standard</t>
        </is>
      </c>
      <c r="F20" s="18" t="inlineStr">
        <is>
          <t>Blended software + hardware module margin</t>
        </is>
      </c>
    </row>
    <row r="21" ht="24" customHeight="1" s="79">
      <c r="A21" s="4" t="inlineStr">
        <is>
          <t>Gross margin — DC/HQ deal</t>
        </is>
      </c>
      <c r="B21" s="47" t="n">
        <v>0.6</v>
      </c>
      <c r="C21" s="45" t="inlineStr">
        <is>
          <t>%</t>
        </is>
      </c>
      <c r="D21" s="4" t="n"/>
      <c r="E21" s="19" t="inlineStr">
        <is>
          <t>Check Point deal standard</t>
        </is>
      </c>
      <c r="F21" s="18" t="inlineStr">
        <is>
          <t>Hardware-heavy deal margin</t>
        </is>
      </c>
    </row>
    <row r="22" ht="24" customHeight="1" s="79">
      <c r="A22" s="4" t="inlineStr">
        <is>
          <t>One-time investment</t>
        </is>
      </c>
      <c r="B22" s="40">
        <f>'2 · Investment'!B9</f>
        <v/>
      </c>
      <c r="C22" s="45" t="inlineStr">
        <is>
          <t>$</t>
        </is>
      </c>
      <c r="D22" s="4" t="n"/>
      <c r="E22" s="19" t="inlineStr">
        <is>
          <t>Live link → '2 · Investment'!B9</t>
        </is>
      </c>
      <c r="F22" s="18" t="inlineStr">
        <is>
          <t>Planning estimate: R&amp;D, HW+FIPS, dev kits, GTM</t>
        </is>
      </c>
    </row>
    <row r="23" ht="24" customHeight="1" s="79">
      <c r="A23" s="4" t="inlineStr">
        <is>
          <t>Horizon</t>
        </is>
      </c>
      <c r="B23" s="48" t="n">
        <v>3</v>
      </c>
      <c r="C23" s="45" t="inlineStr">
        <is>
          <t>years</t>
        </is>
      </c>
      <c r="D23" s="4" t="n"/>
      <c r="E23" s="19" t="inlineStr">
        <is>
          <t>Standard business case</t>
        </is>
      </c>
      <c r="F23" s="18" t="inlineStr">
        <is>
          <t>3-year planning horizon</t>
        </is>
      </c>
    </row>
    <row r="24" ht="24" customHeight="1" s="79">
      <c r="A24" s="4" t="inlineStr">
        <is>
          <t>DC/HQ deals won / yr (upside)</t>
        </is>
      </c>
      <c r="B24" s="46" t="n">
        <v>25</v>
      </c>
      <c r="C24" s="45" t="inlineStr">
        <is>
          <t>deals / yr</t>
        </is>
      </c>
      <c r="D24" s="4" t="n"/>
      <c r="E24" s="19" t="inlineStr">
        <is>
          <t>Planning (+10 pts win-rate)</t>
        </is>
      </c>
      <c r="F24" s="18" t="inlineStr">
        <is>
          <t>Incremental wins from the 4× TP+TLS advantage</t>
        </is>
      </c>
    </row>
    <row r="25" ht="24" customHeight="1" s="79">
      <c r="A25" s="4" t="inlineStr">
        <is>
          <t>DC/HQ deal value (upside)</t>
        </is>
      </c>
      <c r="B25" s="44" t="n">
        <v>350000</v>
      </c>
      <c r="C25" s="45" t="inlineStr">
        <is>
          <t>$ / deal</t>
        </is>
      </c>
      <c r="D25" s="4" t="n"/>
      <c r="E25" s="19" t="inlineStr">
        <is>
          <t>Planning</t>
        </is>
      </c>
      <c r="F25" s="18" t="inlineStr">
        <is>
          <t>Average DC/HQ deal ASP</t>
        </is>
      </c>
    </row>
    <row r="27" ht="21.95" customHeight="1" s="79">
      <c r="A27" s="77" t="inlineStr">
        <is>
          <t>Build-up A — attach on new units (how 1,800 modules &amp; $27.0M arise)</t>
        </is>
      </c>
      <c r="B27" s="74" t="n"/>
      <c r="C27" s="74" t="n"/>
      <c r="D27" s="74" t="n"/>
      <c r="E27" s="74" t="n"/>
      <c r="F27" s="75" t="n"/>
    </row>
    <row r="28" ht="24" customHeight="1" s="79">
      <c r="A28" s="16" t="inlineStr">
        <is>
          <t>Year</t>
        </is>
      </c>
      <c r="B28" s="16" t="inlineStr">
        <is>
          <t>New units</t>
        </is>
      </c>
      <c r="C28" s="16" t="inlineStr">
        <is>
          <t>Attach %</t>
        </is>
      </c>
      <c r="D28" s="16" t="inlineStr">
        <is>
          <t>Modules</t>
        </is>
      </c>
      <c r="E28" s="16" t="inlineStr">
        <is>
          <t>Revenue</t>
        </is>
      </c>
      <c r="F28" s="16" t="inlineStr">
        <is>
          <t>Assumption</t>
        </is>
      </c>
    </row>
    <row r="29" ht="21.95" customHeight="1" s="79">
      <c r="A29" s="4" t="inlineStr">
        <is>
          <t>Year 1</t>
        </is>
      </c>
      <c r="B29" s="49">
        <f>$B$15</f>
        <v/>
      </c>
      <c r="C29" s="50">
        <f>B16</f>
        <v/>
      </c>
      <c r="D29" s="49">
        <f>B29*C29</f>
        <v/>
      </c>
      <c r="E29" s="51">
        <f>D29*$B$14</f>
        <v/>
      </c>
      <c r="F29" s="18" t="inlineStr">
        <is>
          <t>Ramp start</t>
        </is>
      </c>
    </row>
    <row r="30" ht="21.95" customHeight="1" s="79">
      <c r="A30" s="4" t="inlineStr">
        <is>
          <t>Year 2</t>
        </is>
      </c>
      <c r="B30" s="49">
        <f>$B$15</f>
        <v/>
      </c>
      <c r="C30" s="50">
        <f>B17</f>
        <v/>
      </c>
      <c r="D30" s="49">
        <f>B30*C30</f>
        <v/>
      </c>
      <c r="E30" s="51">
        <f>D30*$B$14</f>
        <v/>
      </c>
      <c r="F30" s="18" t="inlineStr">
        <is>
          <t>Mid ramp</t>
        </is>
      </c>
    </row>
    <row r="31" ht="21.95" customHeight="1" s="79">
      <c r="A31" s="4" t="inlineStr">
        <is>
          <t>Year 3</t>
        </is>
      </c>
      <c r="B31" s="49">
        <f>$B$15</f>
        <v/>
      </c>
      <c r="C31" s="50">
        <f>B18</f>
        <v/>
      </c>
      <c r="D31" s="49">
        <f>B31*C31</f>
        <v/>
      </c>
      <c r="E31" s="51">
        <f>D31*$B$14</f>
        <v/>
      </c>
      <c r="F31" s="18" t="inlineStr">
        <is>
          <t>Mature attach</t>
        </is>
      </c>
    </row>
    <row r="32" ht="21.95" customHeight="1" s="79">
      <c r="A32" s="4" t="inlineStr">
        <is>
          <t>Subtotal</t>
        </is>
      </c>
      <c r="B32" s="52" t="n"/>
      <c r="C32" s="52" t="n"/>
      <c r="D32" s="42">
        <f>SUM(D29:D31)</f>
        <v/>
      </c>
      <c r="E32" s="40">
        <f>SUM(E29:E31)</f>
        <v/>
      </c>
      <c r="F32" s="18" t="inlineStr">
        <is>
          <t>1,800 modules over 3 years as attach grows 30% → 50%</t>
        </is>
      </c>
    </row>
    <row r="34" ht="21.95" customHeight="1" s="79">
      <c r="A34" s="77" t="inlineStr">
        <is>
          <t>Build-up B — base module revenue (3 years)</t>
        </is>
      </c>
      <c r="B34" s="74" t="n"/>
      <c r="C34" s="74" t="n"/>
      <c r="D34" s="74" t="n"/>
      <c r="E34" s="74" t="n"/>
      <c r="F34" s="75" t="n"/>
    </row>
    <row r="35" ht="24" customHeight="1" s="79">
      <c r="A35" s="16" t="inlineStr">
        <is>
          <t>Component</t>
        </is>
      </c>
      <c r="B35" s="16" t="n"/>
      <c r="C35" s="16" t="inlineStr">
        <is>
          <t>Modules</t>
        </is>
      </c>
      <c r="D35" s="16" t="inlineStr">
        <is>
          <t>Revenue</t>
        </is>
      </c>
      <c r="E35" s="16" t="inlineStr">
        <is>
          <t>Basis / source</t>
        </is>
      </c>
      <c r="F35" s="16" t="inlineStr">
        <is>
          <t>Assumption</t>
        </is>
      </c>
    </row>
    <row r="36" ht="21.95" customHeight="1" s="79">
      <c r="A36" s="4" t="inlineStr">
        <is>
          <t>Attach on new units</t>
        </is>
      </c>
      <c r="B36" s="4" t="n"/>
      <c r="C36" s="49">
        <f>D32</f>
        <v/>
      </c>
      <c r="D36" s="51">
        <f>E32</f>
        <v/>
      </c>
      <c r="E36" s="19" t="inlineStr">
        <is>
          <t>Build-up A</t>
        </is>
      </c>
      <c r="F36" s="18" t="inlineStr">
        <is>
          <t>New-unit attach, years 1–3</t>
        </is>
      </c>
    </row>
    <row r="37" ht="21.95" customHeight="1" s="79">
      <c r="A37" s="4" t="inlineStr">
        <is>
          <t>Installed-base upgrades</t>
        </is>
      </c>
      <c r="B37" s="4" t="n"/>
      <c r="C37" s="49">
        <f>$B$19</f>
        <v/>
      </c>
      <c r="D37" s="51">
        <f>$B$19*$B$14</f>
        <v/>
      </c>
      <c r="E37" s="19" t="inlineStr">
        <is>
          <t>Planning</t>
        </is>
      </c>
      <c r="F37" s="18" t="inlineStr">
        <is>
          <t>925 upgrades × $15K; demand concentrated in year 1</t>
        </is>
      </c>
    </row>
    <row r="38" ht="21.95" customHeight="1" s="79">
      <c r="A38" s="4" t="inlineStr">
        <is>
          <t>Total module revenue</t>
        </is>
      </c>
      <c r="B38" s="52" t="n"/>
      <c r="C38" s="42">
        <f>C36+C37</f>
        <v/>
      </c>
      <c r="D38" s="40">
        <f>D36+D37</f>
        <v/>
      </c>
      <c r="E38" s="19" t="n"/>
      <c r="F38" s="18" t="inlineStr">
        <is>
          <t>Flows into the ROI waterfall as base revenue</t>
        </is>
      </c>
    </row>
    <row r="40" ht="21.95" customHeight="1" s="79">
      <c r="A40" s="77" t="inlineStr">
        <is>
          <t>ROI waterfall — base vs. base + deal upside</t>
        </is>
      </c>
      <c r="B40" s="74" t="n"/>
      <c r="C40" s="74" t="n"/>
      <c r="D40" s="74" t="n"/>
      <c r="E40" s="74" t="n"/>
      <c r="F40" s="75" t="n"/>
    </row>
    <row r="41" ht="24" customHeight="1" s="79">
      <c r="A41" s="16" t="inlineStr">
        <is>
          <t>Line</t>
        </is>
      </c>
      <c r="B41" s="16" t="inlineStr">
        <is>
          <t>Base</t>
        </is>
      </c>
      <c r="C41" s="16" t="inlineStr">
        <is>
          <t>Base + upside</t>
        </is>
      </c>
      <c r="D41" s="16" t="n"/>
      <c r="E41" s="16" t="inlineStr">
        <is>
          <t>Basis / source</t>
        </is>
      </c>
      <c r="F41" s="16" t="inlineStr">
        <is>
          <t>Assumption</t>
        </is>
      </c>
    </row>
    <row r="42" ht="21.95" customHeight="1" s="79">
      <c r="A42" s="4" t="inlineStr">
        <is>
          <t>Module revenue (3 yr)</t>
        </is>
      </c>
      <c r="B42" s="51">
        <f>D38</f>
        <v/>
      </c>
      <c r="C42" s="51">
        <f>D38</f>
        <v/>
      </c>
      <c r="D42" s="4" t="n"/>
      <c r="E42" s="19" t="inlineStr">
        <is>
          <t>Build-up B</t>
        </is>
      </c>
      <c r="F42" s="18" t="inlineStr">
        <is>
          <t>Same in both scenarios</t>
        </is>
      </c>
    </row>
    <row r="43" ht="21.95" customHeight="1" s="79">
      <c r="A43" s="4" t="inlineStr">
        <is>
          <t>DC/HQ deal revenue (upside)</t>
        </is>
      </c>
      <c r="B43" s="51" t="n">
        <v>0</v>
      </c>
      <c r="C43" s="51">
        <f>$B$23*$B$24*$B$25</f>
        <v/>
      </c>
      <c r="D43" s="4" t="n"/>
      <c r="E43" s="19" t="inlineStr">
        <is>
          <t>Upside only</t>
        </is>
      </c>
      <c r="F43" s="18" t="inlineStr">
        <is>
          <t>75 deals (25/yr × 3) × $350K</t>
        </is>
      </c>
    </row>
    <row r="44" ht="21.95" customHeight="1" s="79">
      <c r="A44" s="4" t="inlineStr">
        <is>
          <t>Total revenue</t>
        </is>
      </c>
      <c r="B44" s="40">
        <f>B42+B43</f>
        <v/>
      </c>
      <c r="C44" s="40">
        <f>C42+C43</f>
        <v/>
      </c>
      <c r="D44" s="4" t="n"/>
      <c r="E44" s="19" t="n"/>
      <c r="F44" s="18" t="inlineStr">
        <is>
          <t>Module + upside deals</t>
        </is>
      </c>
    </row>
    <row r="45" ht="21.95" customHeight="1" s="79">
      <c r="A45" s="4" t="inlineStr">
        <is>
          <t>Gross profit</t>
        </is>
      </c>
      <c r="B45" s="51">
        <f>D38*$B$20</f>
        <v/>
      </c>
      <c r="C45" s="51">
        <f>D38*$B$20+C43*$B$21</f>
        <v/>
      </c>
      <c r="D45" s="4" t="n"/>
      <c r="E45" s="19" t="inlineStr">
        <is>
          <t>Margins per line</t>
        </is>
      </c>
      <c r="F45" s="18" t="inlineStr">
        <is>
          <t>65% module · 60% deal</t>
        </is>
      </c>
    </row>
    <row r="46" ht="21.95" customHeight="1" s="79">
      <c r="A46" s="4" t="inlineStr">
        <is>
          <t>One-time investment</t>
        </is>
      </c>
      <c r="B46" s="51">
        <f>-$B$22</f>
        <v/>
      </c>
      <c r="C46" s="51">
        <f>-$B$22</f>
        <v/>
      </c>
      <c r="D46" s="4" t="n"/>
      <c r="E46" s="19" t="inlineStr">
        <is>
          <t>Investment sheet</t>
        </is>
      </c>
      <c r="F46" s="18" t="inlineStr">
        <is>
          <t>Planning estimate</t>
        </is>
      </c>
    </row>
    <row r="47" ht="21.95" customHeight="1" s="79">
      <c r="A47" s="4" t="inlineStr">
        <is>
          <t>Net contribution (3 yr)</t>
        </is>
      </c>
      <c r="B47" s="40">
        <f>B45+B60+B46</f>
        <v/>
      </c>
      <c r="C47" s="40">
        <f>C45+B60+C46</f>
        <v/>
      </c>
      <c r="D47" s="4" t="n"/>
      <c r="E47" s="19" t="n"/>
      <c r="F47" s="18" t="inlineStr">
        <is>
          <t>Gross profit − investment</t>
        </is>
      </c>
    </row>
    <row r="48" ht="24" customHeight="1" s="79">
      <c r="A48" s="4" t="inlineStr">
        <is>
          <t>ROI (3 yr)</t>
        </is>
      </c>
      <c r="B48" s="41">
        <f>B47/$B$22</f>
        <v/>
      </c>
      <c r="C48" s="41">
        <f>C47/$B$22</f>
        <v/>
      </c>
      <c r="D48" s="4" t="n"/>
      <c r="E48" s="19" t="inlineStr">
        <is>
          <t>Net ÷ investment</t>
        </is>
      </c>
      <c r="F48" s="18" t="inlineStr">
        <is>
          <t>Net of cannibalization; deck shows ~189% base / ~408% upside</t>
        </is>
      </c>
    </row>
    <row r="49" ht="21.95" customHeight="1" s="79">
      <c r="A49" s="4" t="inlineStr">
        <is>
          <t>Break-even (months from GA)</t>
        </is>
      </c>
      <c r="B49" s="42" t="n">
        <v>16</v>
      </c>
      <c r="C49" s="43" t="inlineStr">
        <is>
          <t>—</t>
        </is>
      </c>
      <c r="D49" s="4" t="n"/>
      <c r="E49" s="19" t="inlineStr">
        <is>
          <t>Modules only</t>
        </is>
      </c>
      <c r="F49" s="18" t="inlineStr">
        <is>
          <t>Cash contribution covers the investment by ~month 16</t>
        </is>
      </c>
    </row>
    <row r="51" ht="21.95" customHeight="1" s="79">
      <c r="A51" s="77" t="inlineStr">
        <is>
          <t>Sales adjustment — 29100/29200 cannibalization (now netted into the headline ROI)</t>
        </is>
      </c>
      <c r="B51" s="74" t="n"/>
      <c r="C51" s="74" t="n"/>
      <c r="D51" s="74" t="n"/>
      <c r="E51" s="74" t="n"/>
      <c r="F51" s="75" t="n"/>
    </row>
    <row r="52" ht="45.95" customHeight="1" s="79">
      <c r="A52" s="80" t="inlineStr">
        <is>
          <t>Why a decline in 29100/29200 sales: the module lets a stuck 9700/9800 customer gain TP+TLS without the 2RU/4RU forklift to a 29100/29200, so a share of would-be 29100/29200 buyers upgrade the existing box instead. This net impact is now BAKED INTO the headline Net contribution and ROI above (to match the deck); the pre-cannibalization figures are kept below as a memo. Most stuck customers avoid the forklift, so the displaced share is modest. All figures are planning assumptions to validate against CRM / pricing data.</t>
        </is>
      </c>
    </row>
    <row r="53" ht="24" customHeight="1" s="79">
      <c r="A53" s="16" t="inlineStr">
        <is>
          <t>Line</t>
        </is>
      </c>
      <c r="B53" s="16" t="inlineStr">
        <is>
          <t>Value</t>
        </is>
      </c>
      <c r="C53" s="16" t="inlineStr">
        <is>
          <t>Unit</t>
        </is>
      </c>
      <c r="D53" s="16" t="n"/>
      <c r="E53" s="16" t="inlineStr">
        <is>
          <t>Basis / source</t>
        </is>
      </c>
      <c r="F53" s="16" t="inlineStr">
        <is>
          <t>Assumption</t>
        </is>
      </c>
    </row>
    <row r="54" ht="24" customHeight="1" s="79">
      <c r="A54" s="4" t="inlineStr">
        <is>
          <t>Cannibalization rate</t>
        </is>
      </c>
      <c r="B54" s="47" t="n">
        <v>0.1</v>
      </c>
      <c r="C54" s="45" t="inlineStr">
        <is>
          <t>% of upgrades</t>
        </is>
      </c>
      <c r="D54" s="4" t="n"/>
      <c r="E54" s="19" t="inlineStr">
        <is>
          <t>Planning estimate</t>
        </is>
      </c>
      <c r="F54" s="18" t="inlineStr">
        <is>
          <t>Share of the 925 upgrades that would otherwise have bought a 29100/29200</t>
        </is>
      </c>
    </row>
    <row r="55" ht="24" customHeight="1" s="79">
      <c r="A55" s="4" t="inlineStr">
        <is>
          <t>29100/29200 ASP</t>
        </is>
      </c>
      <c r="B55" s="44" t="n">
        <v>120000</v>
      </c>
      <c r="C55" s="45" t="inlineStr">
        <is>
          <t>$ / unit</t>
        </is>
      </c>
      <c r="D55" s="4" t="n"/>
      <c r="E55" s="19" t="inlineStr">
        <is>
          <t>Planning estimate (validate w/ pricing)</t>
        </is>
      </c>
      <c r="F55" s="18" t="inlineStr">
        <is>
          <t>Enterprise appliance; varies by bundle/region/discount — placeholder to edit</t>
        </is>
      </c>
    </row>
    <row r="56" ht="24" customHeight="1" s="79">
      <c r="A56" s="4" t="inlineStr">
        <is>
          <t>29100/29200 gross margin</t>
        </is>
      </c>
      <c r="B56" s="47" t="n">
        <v>0.6</v>
      </c>
      <c r="C56" s="45" t="inlineStr">
        <is>
          <t>%</t>
        </is>
      </c>
      <c r="D56" s="4" t="n"/>
      <c r="E56" s="19" t="inlineStr">
        <is>
          <t>Check Point hardware deal standard</t>
        </is>
      </c>
      <c r="F56" s="18" t="inlineStr">
        <is>
          <t>Hardware-heavy deal margin</t>
        </is>
      </c>
    </row>
    <row r="57" ht="21.95" customHeight="1" s="79">
      <c r="A57" s="4" t="inlineStr">
        <is>
          <t>Displaced 29100/29200 units</t>
        </is>
      </c>
      <c r="B57" s="53">
        <f>B54*$B$19</f>
        <v/>
      </c>
      <c r="C57" s="45" t="inlineStr">
        <is>
          <t>units</t>
        </is>
      </c>
      <c r="D57" s="4" t="n"/>
      <c r="E57" s="19" t="n"/>
      <c r="F57" s="18" t="inlineStr">
        <is>
          <t>Upgrades that displace a box sale</t>
        </is>
      </c>
    </row>
    <row r="58" ht="21.95" customHeight="1" s="79">
      <c r="A58" s="4" t="inlineStr">
        <is>
          <t>Forgone box gross profit</t>
        </is>
      </c>
      <c r="B58" s="51">
        <f>B57*B55*B56</f>
        <v/>
      </c>
      <c r="C58" s="45" t="inlineStr">
        <is>
          <t>$</t>
        </is>
      </c>
      <c r="D58" s="4" t="n"/>
      <c r="E58" s="19" t="n"/>
      <c r="F58" s="18" t="inlineStr">
        <is>
          <t>Box GP we would have earned on those units</t>
        </is>
      </c>
    </row>
    <row r="59" ht="21.95" customHeight="1" s="79">
      <c r="A59" s="4" t="inlineStr">
        <is>
          <t>Module GP already counted</t>
        </is>
      </c>
      <c r="B59" s="51">
        <f>B57*$B$14*$B$20</f>
        <v/>
      </c>
      <c r="C59" s="45" t="inlineStr">
        <is>
          <t>$</t>
        </is>
      </c>
      <c r="D59" s="4" t="n"/>
      <c r="E59" s="19" t="n"/>
      <c r="F59" s="18" t="inlineStr">
        <is>
          <t>Module GP from the same customers (already in the base)</t>
        </is>
      </c>
    </row>
    <row r="60" ht="21.95" customHeight="1" s="79">
      <c r="A60" s="4" t="inlineStr">
        <is>
          <t>Net cannibalization impact</t>
        </is>
      </c>
      <c r="B60" s="40">
        <f>B59-B58</f>
        <v/>
      </c>
      <c r="C60" s="45" t="inlineStr">
        <is>
          <t>$</t>
        </is>
      </c>
      <c r="D60" s="4" t="n"/>
      <c r="E60" s="19" t="n"/>
      <c r="F60" s="18" t="inlineStr">
        <is>
          <t>Negative = net GP forgone vs. the box counterfactual</t>
        </is>
      </c>
    </row>
    <row r="61" ht="21.95" customHeight="1" s="79">
      <c r="A61" s="4" t="inlineStr">
        <is>
          <t>Memo · net contribution before cannibalization (gross)</t>
        </is>
      </c>
      <c r="B61" s="40">
        <f>B45+B46</f>
        <v/>
      </c>
      <c r="C61" s="45" t="inlineStr">
        <is>
          <t>$</t>
        </is>
      </c>
      <c r="D61" s="4" t="n"/>
      <c r="E61" s="19" t="n"/>
      <c r="F61" s="18" t="inlineStr">
        <is>
          <t>Reference: the pre-haircut figure the deck used to show</t>
        </is>
      </c>
    </row>
    <row r="62" ht="24" customHeight="1" s="79">
      <c r="A62" s="4" t="inlineStr">
        <is>
          <t>Memo · ROI before cannibalization (gross)</t>
        </is>
      </c>
      <c r="B62" s="41">
        <f>B61/$B$22</f>
        <v/>
      </c>
      <c r="C62" s="45" t="n"/>
      <c r="D62" s="4" t="n"/>
      <c r="E62" s="19" t="inlineStr">
        <is>
          <t>Adjusted net ÷ investment</t>
        </is>
      </c>
      <c r="F62" s="18" t="inlineStr">
        <is>
          <t>Reference only; the headline ROI above is net of cannibalization</t>
        </is>
      </c>
    </row>
    <row r="64" ht="21.95" customHeight="1" s="79">
      <c r="A64" s="80" t="inlineStr">
        <is>
          <t>Check Point Software Technologies · Confidential   |   Barak Rozenfeld · Senior PM Assignment 2026   |   Slide 16   |   Cream = editable input · grey = formula (recalculates).</t>
        </is>
      </c>
    </row>
  </sheetData>
  <mergeCells count="10">
    <mergeCell ref="A2:F2"/>
    <mergeCell ref="A51:F51"/>
    <mergeCell ref="A52:F52"/>
    <mergeCell ref="A1:F1"/>
    <mergeCell ref="A27:F27"/>
    <mergeCell ref="A34:F34"/>
    <mergeCell ref="A12:F12"/>
    <mergeCell ref="A4:F4"/>
    <mergeCell ref="A40:F40"/>
    <mergeCell ref="A64:F64"/>
  </mergeCells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4.25"/>
  <cols>
    <col width="4" customWidth="1" style="79" min="1" max="1"/>
    <col width="27" customWidth="1" style="79" min="2" max="2"/>
    <col width="30" customWidth="1" style="79" min="3" max="3"/>
    <col width="14" customWidth="1" style="79" min="4" max="4"/>
    <col width="15" customWidth="1" style="79" min="5" max="5"/>
    <col width="40" customWidth="1" style="79" min="6" max="6"/>
  </cols>
  <sheetData>
    <row r="1" ht="16.5" customHeight="1" s="79">
      <c r="A1" s="54" t="inlineStr">
        <is>
          <t>Slide 12 — Four alternatives for accelerating TP under TLS</t>
        </is>
      </c>
    </row>
    <row r="2">
      <c r="A2" s="94" t="inlineStr">
        <is>
          <t>Each alternative has its own sheet with a bottom-up breakdown of how the time and cost were derived. Criterion: throughput per RU without sacrificing flexibility.</t>
        </is>
      </c>
    </row>
    <row r="4">
      <c r="A4" s="63" t="inlineStr">
        <is>
          <t>#</t>
        </is>
      </c>
      <c r="B4" s="63" t="inlineStr">
        <is>
          <t>Alternative</t>
        </is>
      </c>
      <c r="C4" s="63" t="inlineStr">
        <is>
          <t>What we develop</t>
        </is>
      </c>
      <c r="D4" s="63" t="inlineStr">
        <is>
          <t>Dev time</t>
        </is>
      </c>
      <c r="E4" s="63" t="inlineStr">
        <is>
          <t>Dev cost (NRE)</t>
        </is>
      </c>
      <c r="F4" s="63" t="inlineStr">
        <is>
          <t>Throughput (today 10)  &amp;  verdict</t>
        </is>
      </c>
    </row>
    <row r="5">
      <c r="A5" s="64" t="inlineStr">
        <is>
          <t>1</t>
        </is>
      </c>
      <c r="B5" s="64" t="inlineStr">
        <is>
          <t>Build our own ASIC</t>
        </is>
      </c>
      <c r="C5" s="96" t="inlineStr">
        <is>
          <t>Our own dedicated chip</t>
        </is>
      </c>
      <c r="D5" s="96" t="inlineStr">
        <is>
          <t>3–5 years</t>
        </is>
      </c>
      <c r="E5" s="96" t="inlineStr">
        <is>
          <t>$300M+</t>
        </is>
      </c>
      <c r="F5" s="65" t="inlineStr">
        <is>
          <t>~40+ · Rejected — cost &amp; time prohibitive, inflexible</t>
        </is>
      </c>
    </row>
    <row r="6">
      <c r="A6" s="64" t="inlineStr">
        <is>
          <t>2</t>
        </is>
      </c>
      <c r="B6" s="64" t="inlineStr">
        <is>
          <t>Self-designed FPGA</t>
        </is>
      </c>
      <c r="C6" s="96" t="inlineStr">
        <is>
          <t>FPGA designed by Check Point</t>
        </is>
      </c>
      <c r="D6" s="96" t="inlineStr">
        <is>
          <t>~3 years</t>
        </is>
      </c>
      <c r="E6" s="96" t="inlineStr">
        <is>
          <t>$30–50M</t>
        </is>
      </c>
      <c r="F6" s="65" t="inlineStr">
        <is>
          <t>~30–40 · Rejected — costly, HDL per engine</t>
        </is>
      </c>
    </row>
    <row r="7" ht="25.5" customHeight="1" s="79">
      <c r="A7" s="64" t="inlineStr">
        <is>
          <t>3</t>
        </is>
      </c>
      <c r="B7" s="64" t="inlineStr">
        <is>
          <t>Use a ConnectX-7 SmartNIC</t>
        </is>
      </c>
      <c r="C7" s="96" t="inlineStr">
        <is>
          <t>Off-the-shelf NVIDIA ConnectX-7</t>
        </is>
      </c>
      <c r="D7" s="96" t="inlineStr">
        <is>
          <t>~12 months</t>
        </is>
      </c>
      <c r="E7" s="96" t="inlineStr">
        <is>
          <t>~$3M</t>
        </is>
      </c>
      <c r="F7" s="65" t="inlineStr">
        <is>
          <t>10→~20 (×2) · Rejected — crypto only, no Arm cores</t>
        </is>
      </c>
    </row>
    <row r="8" ht="25.5" customHeight="1" s="79">
      <c r="A8" s="66" t="inlineStr">
        <is>
          <t>✓</t>
        </is>
      </c>
      <c r="B8" s="66" t="inlineStr">
        <is>
          <t>Use a BlueField-3 card (CHOSEN)</t>
        </is>
      </c>
      <c r="C8" s="67" t="inlineStr">
        <is>
          <t>Existing NVIDIA BlueField-3 card</t>
        </is>
      </c>
      <c r="D8" s="67" t="inlineStr">
        <is>
          <t>~18 months</t>
        </is>
      </c>
      <c r="E8" s="67" t="inlineStr">
        <is>
          <t>~$7M</t>
        </is>
      </c>
      <c r="F8" s="67" t="inlineStr">
        <is>
          <t>10→~40 (×4) · CHOSEN — best TP/RU + software-updatable</t>
        </is>
      </c>
    </row>
    <row r="10">
      <c r="A10" s="95" t="inlineStr">
        <is>
          <t>Basis: ASIC/FPGA are industry precedent (IBS/McKinsey); ConnectX &amp; BlueField-3 are our bottom-up estimate. Throughput for ASIC/FPGA is a qualitative comparison.</t>
        </is>
      </c>
    </row>
  </sheetData>
  <mergeCells count="2">
    <mergeCell ref="A2:F2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C26" sqref="C26:F26"/>
    </sheetView>
  </sheetViews>
  <sheetFormatPr baseColWidth="8" defaultRowHeight="14.25"/>
  <cols>
    <col width="34" customWidth="1" style="79" min="1" max="1"/>
    <col width="15" customWidth="1" style="79" min="2" max="2"/>
    <col width="58" customWidth="1" style="79" min="3" max="3"/>
    <col width="9" customWidth="1" style="79" min="4" max="6"/>
  </cols>
  <sheetData>
    <row r="1" ht="16.5" customHeight="1" s="79">
      <c r="A1" s="54" t="inlineStr">
        <is>
          <t>Alternative 1 — Build our own ASIC</t>
        </is>
      </c>
    </row>
    <row r="2" ht="30" customHeight="1" s="79">
      <c r="A2" s="94" t="inlineStr">
        <is>
          <t>A Check Point-designed dedicated chip. Rejected: cost and time are prohibitive and the logic is burned into silicon — a new engine means a whole new hardware generation.</t>
        </is>
      </c>
    </row>
    <row r="4">
      <c r="A4" s="55" t="inlineStr">
        <is>
          <t>Headline</t>
        </is>
      </c>
      <c r="B4" s="56" t="n"/>
      <c r="C4" s="56" t="n"/>
      <c r="D4" s="56" t="n"/>
      <c r="E4" s="56" t="n"/>
      <c r="F4" s="56" t="n"/>
    </row>
    <row r="5">
      <c r="A5" s="57" t="inlineStr">
        <is>
          <t>Metric</t>
        </is>
      </c>
      <c r="B5" s="57" t="inlineStr">
        <is>
          <t>Value</t>
        </is>
      </c>
      <c r="C5" s="57" t="inlineStr">
        <is>
          <t>Basis</t>
        </is>
      </c>
    </row>
    <row r="6" ht="26.1" customHeight="1" s="79">
      <c r="A6" s="58" t="inlineStr">
        <is>
          <t>Development time</t>
        </is>
      </c>
      <c r="B6" s="59" t="inlineStr">
        <is>
          <t>3–5 years</t>
        </is>
      </c>
      <c r="C6" s="96" t="inlineStr">
        <is>
          <t>Tape-out (~2 yr) + bring-up + software; industry precedent</t>
        </is>
      </c>
    </row>
    <row r="7" ht="26.1" customHeight="1" s="79">
      <c r="A7" s="58" t="inlineStr">
        <is>
          <t>Development cost (NRE)</t>
        </is>
      </c>
      <c r="B7" s="59" t="inlineStr">
        <is>
          <t>$300M+</t>
        </is>
      </c>
      <c r="C7" s="96" t="inlineStr">
        <is>
          <t>7nm full design cost (IBS / McKinsey chip-design cost by node)</t>
        </is>
      </c>
    </row>
    <row r="8" ht="26.1" customHeight="1" s="79">
      <c r="A8" s="58" t="inlineStr">
        <is>
          <t>Throughput (TP+TLS/RU)</t>
        </is>
      </c>
      <c r="B8" s="59" t="inlineStr">
        <is>
          <t>~40+</t>
        </is>
      </c>
      <c r="C8" s="96" t="inlineStr">
        <is>
          <t>Reaches the target; x86 policy stage then the limit (qualitative)</t>
        </is>
      </c>
    </row>
    <row r="9" ht="26.1" customHeight="1" s="79">
      <c r="A9" s="58" t="inlineStr">
        <is>
          <t>Verdict</t>
        </is>
      </c>
      <c r="B9" s="59" t="inlineStr">
        <is>
          <t>Rejected</t>
        </is>
      </c>
      <c r="C9" s="96" t="inlineStr">
        <is>
          <t>Highest cost, longest time, zero flexibility for new engines / AI-ML</t>
        </is>
      </c>
    </row>
    <row r="11">
      <c r="A11" s="55" t="inlineStr">
        <is>
          <t>How the development TIME was derived</t>
        </is>
      </c>
      <c r="B11" s="56" t="n"/>
      <c r="C11" s="56" t="n"/>
      <c r="D11" s="56" t="n"/>
      <c r="E11" s="56" t="n"/>
      <c r="F11" s="56" t="n"/>
    </row>
    <row r="12">
      <c r="A12" s="57" t="inlineStr">
        <is>
          <t>Phase</t>
        </is>
      </c>
      <c r="B12" s="57" t="inlineStr">
        <is>
          <t>Duration</t>
        </is>
      </c>
      <c r="C12" s="57" t="inlineStr">
        <is>
          <t>Why this long</t>
        </is>
      </c>
    </row>
    <row r="13">
      <c r="A13" s="61" t="inlineStr">
        <is>
          <t>Architecture + RTL design</t>
        </is>
      </c>
      <c r="B13" s="58" t="inlineStr">
        <is>
          <t>~12 months</t>
        </is>
      </c>
      <c r="C13" s="95" t="inlineStr">
        <is>
          <t>Specify the crypto + inspection pipelines and write the RTL</t>
        </is>
      </c>
    </row>
    <row r="14">
      <c r="A14" s="61" t="inlineStr">
        <is>
          <t>Verification &amp; validation</t>
        </is>
      </c>
      <c r="B14" s="58" t="inlineStr">
        <is>
          <t>~12 months</t>
        </is>
      </c>
      <c r="C14" s="95" t="inlineStr">
        <is>
          <t>Exhaustive sim/formal; a silicon bug after tape-out is catastrophic</t>
        </is>
      </c>
    </row>
    <row r="15">
      <c r="A15" s="61" t="inlineStr">
        <is>
          <t>Physical design + 7nm tape-out</t>
        </is>
      </c>
      <c r="B15" s="58" t="inlineStr">
        <is>
          <t>~6–12 months</t>
        </is>
      </c>
      <c r="C15" s="95" t="inlineStr">
        <is>
          <t>Place-and-route, mask set, fab; ~2 yr cumulative to first silicon</t>
        </is>
      </c>
    </row>
    <row r="16">
      <c r="A16" s="61" t="inlineStr">
        <is>
          <t>Fab + first silicon + bring-up</t>
        </is>
      </c>
      <c r="B16" s="58" t="inlineStr">
        <is>
          <t>~6 months</t>
        </is>
      </c>
      <c r="C16" s="95" t="inlineStr">
        <is>
          <t>Wafer run, packaging, lab bring-up</t>
        </is>
      </c>
    </row>
    <row r="17">
      <c r="A17" s="61" t="inlineStr">
        <is>
          <t>Respin (typical) + re-validation</t>
        </is>
      </c>
      <c r="B17" s="58" t="inlineStr">
        <is>
          <t>~6–12 months</t>
        </is>
      </c>
      <c r="C17" s="95" t="inlineStr">
        <is>
          <t>First silicon rarely ships; budget at least one respin</t>
        </is>
      </c>
    </row>
    <row r="18">
      <c r="A18" s="61" t="inlineStr">
        <is>
          <t>Firmware + Gaia/platform integration</t>
        </is>
      </c>
      <c r="B18" s="58" t="inlineStr">
        <is>
          <t>~6–12 months</t>
        </is>
      </c>
      <c r="C18" s="95" t="inlineStr">
        <is>
          <t>Drivers and software stack, overlaps bring-up</t>
        </is>
      </c>
    </row>
    <row r="19">
      <c r="A19" s="58" t="inlineStr">
        <is>
          <t>Calendar total (with overlap)</t>
        </is>
      </c>
      <c r="B19" s="58" t="inlineStr">
        <is>
          <t>3–5 years</t>
        </is>
      </c>
      <c r="C19" s="95" t="inlineStr">
        <is>
          <t>Industry precedent for a new security ASIC</t>
        </is>
      </c>
    </row>
    <row r="21">
      <c r="A21" s="55" t="inlineStr">
        <is>
          <t>How the development COST (NRE) was derived</t>
        </is>
      </c>
      <c r="B21" s="56" t="n"/>
      <c r="C21" s="56" t="n"/>
      <c r="D21" s="56" t="n"/>
      <c r="E21" s="56" t="n"/>
      <c r="F21" s="56" t="n"/>
    </row>
    <row r="22">
      <c r="A22" s="57" t="inlineStr">
        <is>
          <t>Component</t>
        </is>
      </c>
      <c r="B22" s="57" t="inlineStr">
        <is>
          <t>Amount</t>
        </is>
      </c>
      <c r="C22" s="57" t="inlineStr">
        <is>
          <t>Note / assumption</t>
        </is>
      </c>
    </row>
    <row r="23">
      <c r="A23" s="61" t="inlineStr">
        <is>
          <t>IP licensing + architecture + RTL</t>
        </is>
      </c>
      <c r="B23" s="68" t="n">
        <v>55000000</v>
      </c>
      <c r="C23" s="95" t="inlineStr">
        <is>
          <t>Licensed crypto/networking IP + design team</t>
        </is>
      </c>
    </row>
    <row r="24">
      <c r="A24" s="61" t="inlineStr">
        <is>
          <t>Verification &amp; validation</t>
        </is>
      </c>
      <c r="B24" s="68" t="n">
        <v>60000000</v>
      </c>
      <c r="C24" s="95" t="inlineStr">
        <is>
          <t>Largest single line in modern SoC design</t>
        </is>
      </c>
    </row>
    <row r="25">
      <c r="A25" s="61" t="inlineStr">
        <is>
          <t>Physical design + 7nm mask set</t>
        </is>
      </c>
      <c r="B25" s="68" t="n">
        <v>45000000</v>
      </c>
      <c r="C25" s="95" t="inlineStr">
        <is>
          <t>Masks alone ~$15–25M at 7nm, plus place-and-route</t>
        </is>
      </c>
    </row>
    <row r="26">
      <c r="A26" s="61" t="inlineStr">
        <is>
          <t>Prototyping, bring-up, 1 respin</t>
        </is>
      </c>
      <c r="B26" s="68" t="n">
        <v>40000000</v>
      </c>
      <c r="C26" s="95" t="inlineStr">
        <is>
          <t>Each respin ~$5–15M in masks + lost time</t>
        </is>
      </c>
    </row>
    <row r="27">
      <c r="A27" s="61" t="inlineStr">
        <is>
          <t>Firmware + software + drivers</t>
        </is>
      </c>
      <c r="B27" s="68" t="n">
        <v>45000000</v>
      </c>
      <c r="C27" s="95" t="inlineStr">
        <is>
          <t>Full stack to run on the new silicon</t>
        </is>
      </c>
    </row>
    <row r="28">
      <c r="A28" s="61" t="inlineStr">
        <is>
          <t>Qualification, FIPS/EAL, PM, overhead</t>
        </is>
      </c>
      <c r="B28" s="68" t="n">
        <v>55000000</v>
      </c>
      <c r="C28" s="95" t="inlineStr">
        <is>
          <t>Certification + multi-year program overhead</t>
        </is>
      </c>
    </row>
    <row r="29">
      <c r="A29" s="58" t="inlineStr">
        <is>
          <t>Total NRE  (≈ IBS/McKinsey 7nm)</t>
        </is>
      </c>
      <c r="B29" s="69">
        <f>B23+B24+B25+B26+B27+B28</f>
        <v/>
      </c>
      <c r="C29" s="95" t="inlineStr">
        <is>
          <t>Sums to ~$300M; '+': extra respins push well beyond</t>
        </is>
      </c>
    </row>
  </sheetData>
  <mergeCells count="19">
    <mergeCell ref="C17:F17"/>
    <mergeCell ref="C23:F23"/>
    <mergeCell ref="C8:F8"/>
    <mergeCell ref="C7:F7"/>
    <mergeCell ref="C19:F19"/>
    <mergeCell ref="C28:F28"/>
    <mergeCell ref="C13:F13"/>
    <mergeCell ref="A2:F2"/>
    <mergeCell ref="C18:F18"/>
    <mergeCell ref="C6:F6"/>
    <mergeCell ref="C15:F15"/>
    <mergeCell ref="C24:F24"/>
    <mergeCell ref="C14:F14"/>
    <mergeCell ref="C26:F26"/>
    <mergeCell ref="C29:F29"/>
    <mergeCell ref="C16:F16"/>
    <mergeCell ref="C25:F25"/>
    <mergeCell ref="C9:F9"/>
    <mergeCell ref="C27:F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4.25"/>
  <cols>
    <col width="34" customWidth="1" style="79" min="1" max="1"/>
    <col width="15" customWidth="1" style="79" min="2" max="2"/>
    <col width="58" customWidth="1" style="79" min="3" max="3"/>
    <col width="9" customWidth="1" style="79" min="4" max="6"/>
  </cols>
  <sheetData>
    <row r="1" ht="16.5" customHeight="1" s="79">
      <c r="A1" s="54" t="inlineStr">
        <is>
          <t>Alternative 2 — Self-designed FPGA</t>
        </is>
      </c>
    </row>
    <row r="2" ht="30" customHeight="1" s="79">
      <c r="A2" s="94" t="inlineStr">
        <is>
          <t>An FPGA designed by Check Point. Rejected: still costly, every new engine needs fresh HDL work, and performance trails a custom ASIC. The $30–50M range below is built bottom-up to a ~$40M midpoint.</t>
        </is>
      </c>
    </row>
    <row r="4">
      <c r="A4" s="55" t="inlineStr">
        <is>
          <t>Headline</t>
        </is>
      </c>
      <c r="B4" s="56" t="n"/>
      <c r="C4" s="56" t="n"/>
      <c r="D4" s="56" t="n"/>
      <c r="E4" s="56" t="n"/>
      <c r="F4" s="56" t="n"/>
    </row>
    <row r="5">
      <c r="A5" s="57" t="inlineStr">
        <is>
          <t>Metric</t>
        </is>
      </c>
      <c r="B5" s="57" t="inlineStr">
        <is>
          <t>Value</t>
        </is>
      </c>
      <c r="C5" s="57" t="inlineStr">
        <is>
          <t>Basis</t>
        </is>
      </c>
    </row>
    <row r="6" ht="26.1" customHeight="1" s="79">
      <c r="A6" s="58" t="inlineStr">
        <is>
          <t>Development time</t>
        </is>
      </c>
      <c r="B6" s="59" t="inlineStr">
        <is>
          <t>~3 years</t>
        </is>
      </c>
      <c r="C6" s="96" t="inlineStr">
        <is>
          <t>HDL + timing closure; no tape-out, so shorter than an ASIC</t>
        </is>
      </c>
    </row>
    <row r="7" ht="26.1" customHeight="1" s="79">
      <c r="A7" s="58" t="inlineStr">
        <is>
          <t>Development cost (NRE)</t>
        </is>
      </c>
      <c r="B7" s="59" t="inlineStr">
        <is>
          <t>$30–50M</t>
        </is>
      </c>
      <c r="C7" s="96" t="inlineStr">
        <is>
          <t>Bottom-up ~$40M; range driven by team size &amp; board respins</t>
        </is>
      </c>
    </row>
    <row r="8" ht="26.1" customHeight="1" s="79">
      <c r="A8" s="58" t="inlineStr">
        <is>
          <t>Throughput (TP+TLS/RU)</t>
        </is>
      </c>
      <c r="B8" s="59" t="inlineStr">
        <is>
          <t>~30–40</t>
        </is>
      </c>
      <c r="C8" s="96" t="inlineStr">
        <is>
          <t>Frequency / logic-density gap versus a custom ASIC (qualitative)</t>
        </is>
      </c>
    </row>
    <row r="9" ht="26.1" customHeight="1" s="79">
      <c r="A9" s="58" t="inlineStr">
        <is>
          <t>Verdict</t>
        </is>
      </c>
      <c r="B9" s="59" t="inlineStr">
        <is>
          <t>Rejected</t>
        </is>
      </c>
      <c r="C9" s="96" t="inlineStr">
        <is>
          <t>Costly, HDL effort per new engine, slower than an ASIC</t>
        </is>
      </c>
    </row>
    <row r="11">
      <c r="A11" s="55" t="inlineStr">
        <is>
          <t>How the development TIME was derived</t>
        </is>
      </c>
      <c r="B11" s="56" t="n"/>
      <c r="C11" s="56" t="n"/>
      <c r="D11" s="56" t="n"/>
      <c r="E11" s="56" t="n"/>
      <c r="F11" s="56" t="n"/>
    </row>
    <row r="12">
      <c r="A12" s="57" t="inlineStr">
        <is>
          <t>Phase</t>
        </is>
      </c>
      <c r="B12" s="57" t="inlineStr">
        <is>
          <t>Duration</t>
        </is>
      </c>
      <c r="C12" s="57" t="inlineStr">
        <is>
          <t>Why this long</t>
        </is>
      </c>
    </row>
    <row r="13">
      <c r="A13" s="61" t="inlineStr">
        <is>
          <t>Architecture + HDL design</t>
        </is>
      </c>
      <c r="B13" s="58" t="inlineStr">
        <is>
          <t>~12–15 months</t>
        </is>
      </c>
      <c r="C13" s="95" t="inlineStr">
        <is>
          <t>RTL for the crypto + inspection pipelines</t>
        </is>
      </c>
    </row>
    <row r="14">
      <c r="A14" s="61" t="inlineStr">
        <is>
          <t>Verification + timing closure</t>
        </is>
      </c>
      <c r="B14" s="58" t="inlineStr">
        <is>
          <t>~9–12 months</t>
        </is>
      </c>
      <c r="C14" s="95" t="inlineStr">
        <is>
          <t>Timing closure on advanced FPGAs is the long pole</t>
        </is>
      </c>
    </row>
    <row r="15">
      <c r="A15" s="61" t="inlineStr">
        <is>
          <t>Board/card design + bring-up</t>
        </is>
      </c>
      <c r="B15" s="58" t="inlineStr">
        <is>
          <t>~6–9 months</t>
        </is>
      </c>
      <c r="C15" s="95" t="inlineStr">
        <is>
          <t>Overlaps HDL; custom card around the FPGA</t>
        </is>
      </c>
    </row>
    <row r="16">
      <c r="A16" s="61" t="inlineStr">
        <is>
          <t>Firmware/driver + integration</t>
        </is>
      </c>
      <c r="B16" s="58" t="inlineStr">
        <is>
          <t>~6 months</t>
        </is>
      </c>
      <c r="C16" s="95" t="inlineStr">
        <is>
          <t>Into Gaia / the 9000 platform</t>
        </is>
      </c>
    </row>
    <row r="17">
      <c r="A17" s="61" t="inlineStr">
        <is>
          <t>Qualification / certification</t>
        </is>
      </c>
      <c r="B17" s="58" t="inlineStr">
        <is>
          <t>~6 months</t>
        </is>
      </c>
      <c r="C17" s="95" t="inlineStr">
        <is>
          <t>FIPS / EAL on the new card</t>
        </is>
      </c>
    </row>
    <row r="18">
      <c r="A18" s="58" t="inlineStr">
        <is>
          <t>Calendar total (with overlap)</t>
        </is>
      </c>
      <c r="B18" s="58" t="inlineStr">
        <is>
          <t>~3 years</t>
        </is>
      </c>
      <c r="C18" s="95" t="inlineStr">
        <is>
          <t>No tape-out, so ~1–2 yr shorter than an ASIC</t>
        </is>
      </c>
    </row>
    <row r="20">
      <c r="A20" s="55" t="inlineStr">
        <is>
          <t>How the development COST (NRE) was derived</t>
        </is>
      </c>
      <c r="B20" s="56" t="n"/>
      <c r="C20" s="56" t="n"/>
      <c r="D20" s="56" t="n"/>
      <c r="E20" s="56" t="n"/>
      <c r="F20" s="56" t="n"/>
    </row>
    <row r="21">
      <c r="A21" s="57" t="inlineStr">
        <is>
          <t>Component</t>
        </is>
      </c>
      <c r="B21" s="57" t="inlineStr">
        <is>
          <t>Amount</t>
        </is>
      </c>
      <c r="C21" s="57" t="inlineStr">
        <is>
          <t>Note / assumption</t>
        </is>
      </c>
    </row>
    <row r="22">
      <c r="A22" s="61" t="inlineStr">
        <is>
          <t>FTE — HDL/verif/firmware/board team</t>
        </is>
      </c>
      <c r="B22" s="70" t="n">
        <v>25</v>
      </c>
      <c r="C22" s="95" t="inlineStr">
        <is>
          <t>Specialist HDL engineers are scarce &amp; expensive</t>
        </is>
      </c>
    </row>
    <row r="23">
      <c r="A23" s="61" t="inlineStr">
        <is>
          <t>Years</t>
        </is>
      </c>
      <c r="B23" s="70" t="n">
        <v>3</v>
      </c>
      <c r="C23" s="95" t="inlineStr">
        <is>
          <t>Matches the ~3-year timeline above</t>
        </is>
      </c>
    </row>
    <row r="24">
      <c r="A24" s="61" t="inlineStr">
        <is>
          <t>Loaded cost per FTE-year</t>
        </is>
      </c>
      <c r="B24" s="68" t="n">
        <v>280000</v>
      </c>
      <c r="C24" s="95" t="inlineStr">
        <is>
          <t>Fully loaded (salary + overhead + tools share)</t>
        </is>
      </c>
    </row>
    <row r="25">
      <c r="A25" s="61" t="inlineStr">
        <is>
          <t>Engineering team</t>
        </is>
      </c>
      <c r="B25" s="69">
        <f>B22*B23*B24</f>
        <v/>
      </c>
      <c r="C25" s="95" t="n"/>
    </row>
    <row r="26">
      <c r="A26" s="61" t="inlineStr">
        <is>
          <t>EDA + FPGA tool licenses (3 yr)</t>
        </is>
      </c>
      <c r="B26" s="68" t="n">
        <v>4000000</v>
      </c>
      <c r="C26" s="95" t="inlineStr">
        <is>
          <t>Synopsys/Cadence/FPGA vendor toolchains</t>
        </is>
      </c>
    </row>
    <row r="27">
      <c r="A27" s="61" t="inlineStr">
        <is>
          <t>Board design + 3 respins + prototypes</t>
        </is>
      </c>
      <c r="B27" s="68" t="n">
        <v>6000000</v>
      </c>
      <c r="C27" s="95" t="inlineStr">
        <is>
          <t>Main swing factor for the $30–50M range</t>
        </is>
      </c>
    </row>
    <row r="28">
      <c r="A28" s="61" t="inlineStr">
        <is>
          <t>Premium FPGA silicon (dev + qual lots)</t>
        </is>
      </c>
      <c r="B28" s="68" t="n">
        <v>3000000</v>
      </c>
      <c r="C28" s="95" t="inlineStr">
        <is>
          <t>High-end Versal/Agilex-class parts</t>
        </is>
      </c>
    </row>
    <row r="29">
      <c r="A29" s="61" t="inlineStr">
        <is>
          <t>Qualification &amp; certification (FIPS/EAL)</t>
        </is>
      </c>
      <c r="B29" s="68" t="n">
        <v>3000000</v>
      </c>
      <c r="C29" s="95" t="inlineStr">
        <is>
          <t>Regulated-market certification</t>
        </is>
      </c>
    </row>
    <row r="30">
      <c r="A30" s="61" t="inlineStr">
        <is>
          <t>Program mgmt + contingency</t>
        </is>
      </c>
      <c r="B30" s="68" t="n">
        <v>3000000</v>
      </c>
      <c r="C30" s="95" t="inlineStr">
        <is>
          <t>PM, risk buffer</t>
        </is>
      </c>
    </row>
    <row r="31">
      <c r="A31" s="58" t="inlineStr">
        <is>
          <t>Total NRE  (midpoint of $30–50M)</t>
        </is>
      </c>
      <c r="B31" s="69">
        <f>B25+B26+B27+B28+B29+B30</f>
        <v/>
      </c>
      <c r="C31" s="95" t="inlineStr">
        <is>
          <t>≈$40M; 20 FTE &amp; fewer respins → ~$30M, 30 FTE &amp; more → ~$50M</t>
        </is>
      </c>
    </row>
  </sheetData>
  <mergeCells count="21">
    <mergeCell ref="C17:F17"/>
    <mergeCell ref="C23:F23"/>
    <mergeCell ref="C8:F8"/>
    <mergeCell ref="C7:F7"/>
    <mergeCell ref="C28:F28"/>
    <mergeCell ref="C13:F13"/>
    <mergeCell ref="A2:F2"/>
    <mergeCell ref="C18:F18"/>
    <mergeCell ref="C6:F6"/>
    <mergeCell ref="C30:F30"/>
    <mergeCell ref="C15:F15"/>
    <mergeCell ref="C24:F24"/>
    <mergeCell ref="C14:F14"/>
    <mergeCell ref="C26:F26"/>
    <mergeCell ref="C29:F29"/>
    <mergeCell ref="C16:F16"/>
    <mergeCell ref="C25:F25"/>
    <mergeCell ref="C22:F22"/>
    <mergeCell ref="C9:F9"/>
    <mergeCell ref="C31:F31"/>
    <mergeCell ref="C27:F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C19" sqref="C19:F26"/>
    </sheetView>
  </sheetViews>
  <sheetFormatPr baseColWidth="8" defaultRowHeight="14.25"/>
  <cols>
    <col width="34" customWidth="1" style="79" min="1" max="1"/>
    <col width="15" customWidth="1" style="79" min="2" max="2"/>
    <col width="58" customWidth="1" style="79" min="3" max="3"/>
    <col width="9" customWidth="1" style="79" min="4" max="6"/>
  </cols>
  <sheetData>
    <row r="1" ht="16.5" customHeight="1" s="79">
      <c r="A1" s="54" t="inlineStr">
        <is>
          <t>Alternative 3 — Use a ConnectX-7 SmartNIC</t>
        </is>
      </c>
    </row>
    <row r="2" ht="30" customHeight="1" s="79">
      <c r="A2" s="94" t="inlineStr">
        <is>
          <t>An off-the-shelf NVIDIA ConnectX-7 NIC. Rejected: fixed-function offload (inline TLS/IPsec crypto only) with no programmable Arm cores, so it cannot run IPS or an AI/ML engine on-card.</t>
        </is>
      </c>
    </row>
    <row r="4">
      <c r="A4" s="55" t="inlineStr">
        <is>
          <t>Headline</t>
        </is>
      </c>
      <c r="B4" s="56" t="n"/>
      <c r="C4" s="56" t="n"/>
      <c r="D4" s="56" t="n"/>
      <c r="E4" s="56" t="n"/>
      <c r="F4" s="56" t="n"/>
    </row>
    <row r="5">
      <c r="A5" s="57" t="inlineStr">
        <is>
          <t>Metric</t>
        </is>
      </c>
      <c r="B5" s="57" t="inlineStr">
        <is>
          <t>Value</t>
        </is>
      </c>
      <c r="C5" s="57" t="inlineStr">
        <is>
          <t>Basis</t>
        </is>
      </c>
    </row>
    <row r="6" ht="26.1" customHeight="1" s="79">
      <c r="A6" s="58" t="inlineStr">
        <is>
          <t>Development time</t>
        </is>
      </c>
      <c r="B6" s="59" t="inlineStr">
        <is>
          <t>~12 months</t>
        </is>
      </c>
      <c r="C6" s="96" t="inlineStr">
        <is>
          <t>Driver + crypto-offload integration on an off-the-shelf NIC</t>
        </is>
      </c>
    </row>
    <row r="7" ht="26.1" customHeight="1" s="79">
      <c r="A7" s="58" t="inlineStr">
        <is>
          <t>Development cost (NRE)</t>
        </is>
      </c>
      <c r="B7" s="59" t="inlineStr">
        <is>
          <t>~$3M</t>
        </is>
      </c>
      <c r="C7" s="96" t="inlineStr">
        <is>
          <t>Bottom-up; cheapest option but limited capability</t>
        </is>
      </c>
    </row>
    <row r="8" ht="26.1" customHeight="1" s="79">
      <c r="A8" s="58" t="inlineStr">
        <is>
          <t>Throughput (TP+TLS/RU)</t>
        </is>
      </c>
      <c r="B8" s="59" t="inlineStr">
        <is>
          <t>10 → ~20 (×2)</t>
        </is>
      </c>
      <c r="C8" s="96" t="inlineStr">
        <is>
          <t>TLS crypto offload only; IPS still runs on the x86</t>
        </is>
      </c>
    </row>
    <row r="9" ht="26.1" customHeight="1" s="79">
      <c r="A9" s="58" t="inlineStr">
        <is>
          <t>Verdict</t>
        </is>
      </c>
      <c r="B9" s="59" t="inlineStr">
        <is>
          <t>Rejected</t>
        </is>
      </c>
      <c r="C9" s="96" t="inlineStr">
        <is>
          <t>Relieves only TLS crypto; the x86 stays the inspection bottleneck</t>
        </is>
      </c>
    </row>
    <row r="11">
      <c r="A11" s="55" t="inlineStr">
        <is>
          <t>How the development TIME was derived</t>
        </is>
      </c>
      <c r="B11" s="56" t="n"/>
      <c r="C11" s="56" t="n"/>
      <c r="D11" s="56" t="n"/>
      <c r="E11" s="56" t="n"/>
      <c r="F11" s="56" t="n"/>
    </row>
    <row r="12">
      <c r="A12" s="57" t="inlineStr">
        <is>
          <t>Phase</t>
        </is>
      </c>
      <c r="B12" s="57" t="inlineStr">
        <is>
          <t>Duration</t>
        </is>
      </c>
      <c r="C12" s="57" t="inlineStr">
        <is>
          <t>Why this long</t>
        </is>
      </c>
    </row>
    <row r="13">
      <c r="A13" s="61" t="inlineStr">
        <is>
          <t>Driver bring-up in Gaia</t>
        </is>
      </c>
      <c r="B13" s="58" t="inlineStr">
        <is>
          <t>~6 months</t>
        </is>
      </c>
      <c r="C13" s="95" t="inlineStr">
        <is>
          <t>Standard NIC driver model; no on-card OS to build</t>
        </is>
      </c>
    </row>
    <row r="14">
      <c r="A14" s="61" t="inlineStr">
        <is>
          <t>TLS/IPsec crypto-offload integration</t>
        </is>
      </c>
      <c r="B14" s="58" t="inlineStr">
        <is>
          <t>~6 months</t>
        </is>
      </c>
      <c r="C14" s="95" t="inlineStr">
        <is>
          <t>Wire inline crypto offload into the data path (overlaps driver)</t>
        </is>
      </c>
    </row>
    <row r="15">
      <c r="A15" s="58" t="inlineStr">
        <is>
          <t>Calendar total (with overlap)</t>
        </is>
      </c>
      <c r="B15" s="58" t="inlineStr">
        <is>
          <t>~12 months</t>
        </is>
      </c>
      <c r="C15" s="95" t="inlineStr">
        <is>
          <t>Off-the-shelf NIC, no DPU software stack to build</t>
        </is>
      </c>
    </row>
    <row r="17">
      <c r="A17" s="55" t="inlineStr">
        <is>
          <t>How the development COST (NRE) was derived</t>
        </is>
      </c>
      <c r="B17" s="56" t="n"/>
      <c r="C17" s="56" t="n"/>
      <c r="D17" s="56" t="n"/>
      <c r="E17" s="56" t="n"/>
      <c r="F17" s="56" t="n"/>
    </row>
    <row r="18">
      <c r="A18" s="57" t="inlineStr">
        <is>
          <t>Component</t>
        </is>
      </c>
      <c r="B18" s="57" t="inlineStr">
        <is>
          <t>Amount</t>
        </is>
      </c>
      <c r="C18" s="57" t="inlineStr">
        <is>
          <t>Note / assumption</t>
        </is>
      </c>
    </row>
    <row r="19">
      <c r="A19" s="61" t="inlineStr">
        <is>
          <t>FTE — integration team</t>
        </is>
      </c>
      <c r="B19" s="70" t="n">
        <v>6</v>
      </c>
      <c r="C19" s="95" t="inlineStr">
        <is>
          <t>Small team; no on-card software platform</t>
        </is>
      </c>
    </row>
    <row r="20">
      <c r="A20" s="61" t="inlineStr">
        <is>
          <t>Years</t>
        </is>
      </c>
      <c r="B20" s="70" t="n">
        <v>1</v>
      </c>
      <c r="C20" s="95" t="inlineStr">
        <is>
          <t>Matches the ~12-month timeline</t>
        </is>
      </c>
    </row>
    <row r="21">
      <c r="A21" s="61" t="inlineStr">
        <is>
          <t>Loaded cost per FTE-year</t>
        </is>
      </c>
      <c r="B21" s="68" t="n">
        <v>250000</v>
      </c>
      <c r="C21" s="95" t="inlineStr">
        <is>
          <t>Fully loaded</t>
        </is>
      </c>
    </row>
    <row r="22">
      <c r="A22" s="61" t="inlineStr">
        <is>
          <t>Engineering team</t>
        </is>
      </c>
      <c r="B22" s="69">
        <f>B19*B20*B21</f>
        <v/>
      </c>
      <c r="C22" s="95" t="n"/>
    </row>
    <row r="23">
      <c r="A23" s="61" t="inlineStr">
        <is>
          <t>ConnectX-7 dev cards + lab setup</t>
        </is>
      </c>
      <c r="B23" s="68" t="n">
        <v>300000</v>
      </c>
      <c r="C23" s="95" t="inlineStr">
        <is>
          <t>Off-the-shelf hardware</t>
        </is>
      </c>
    </row>
    <row r="24">
      <c r="A24" s="61" t="inlineStr">
        <is>
          <t>Test tooling</t>
        </is>
      </c>
      <c r="B24" s="68" t="n">
        <v>200000</v>
      </c>
      <c r="C24" s="95" t="inlineStr">
        <is>
          <t>Traffic generators, test rigs</t>
        </is>
      </c>
    </row>
    <row r="25">
      <c r="A25" s="61" t="inlineStr">
        <is>
          <t>Qualification (no new silicon)</t>
        </is>
      </c>
      <c r="B25" s="68" t="n">
        <v>500000</v>
      </c>
      <c r="C25" s="95" t="inlineStr">
        <is>
          <t>Lighter — reusing a shipping NIC</t>
        </is>
      </c>
    </row>
    <row r="26">
      <c r="A26" s="61" t="inlineStr">
        <is>
          <t>Contingency</t>
        </is>
      </c>
      <c r="B26" s="68" t="n">
        <v>500000</v>
      </c>
      <c r="C26" s="95" t="inlineStr">
        <is>
          <t>Risk buffer</t>
        </is>
      </c>
    </row>
    <row r="27">
      <c r="A27" s="58" t="inlineStr">
        <is>
          <t>Total NRE</t>
        </is>
      </c>
      <c r="B27" s="69">
        <f>B22+B23+B24+B25+B26</f>
        <v/>
      </c>
      <c r="C27" s="95" t="inlineStr">
        <is>
          <t>Sums to ~$3M</t>
        </is>
      </c>
    </row>
  </sheetData>
  <mergeCells count="17">
    <mergeCell ref="C13:F13"/>
    <mergeCell ref="A2:F2"/>
    <mergeCell ref="C9:F9"/>
    <mergeCell ref="C22:F22"/>
    <mergeCell ref="C23:F23"/>
    <mergeCell ref="C8:F8"/>
    <mergeCell ref="C26:F26"/>
    <mergeCell ref="C20:F20"/>
    <mergeCell ref="C6:F6"/>
    <mergeCell ref="C7:F7"/>
    <mergeCell ref="C21:F21"/>
    <mergeCell ref="C15:F15"/>
    <mergeCell ref="C25:F25"/>
    <mergeCell ref="C27:F27"/>
    <mergeCell ref="C19:F19"/>
    <mergeCell ref="C24:F24"/>
    <mergeCell ref="C14:F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topLeftCell="A11" workbookViewId="0">
      <selection activeCell="A1" sqref="A1"/>
    </sheetView>
  </sheetViews>
  <sheetFormatPr baseColWidth="8" defaultRowHeight="14.25"/>
  <cols>
    <col width="34" customWidth="1" style="79" min="1" max="1"/>
    <col width="15" customWidth="1" style="79" min="2" max="2"/>
    <col width="58" customWidth="1" style="79" min="3" max="3"/>
    <col width="9" customWidth="1" style="79" min="4" max="6"/>
  </cols>
  <sheetData>
    <row r="1" ht="16.5" customHeight="1" s="79">
      <c r="A1" s="54" t="inlineStr">
        <is>
          <t>Alternative 4 — Use a BlueField-3 acceleration card  ✓ CHOSEN</t>
        </is>
      </c>
    </row>
    <row r="2" ht="30" customHeight="1" s="79">
      <c r="A2" s="94" t="inlineStr">
        <is>
          <t>An existing NVIDIA BlueField-3 card in a Check Point-format slot. Chosen: best throughput per RU without sacrificing flexibility — a new engine (incl. AI/ML) ships as a software update, and BF-3 is already proven in Check Point AI Cloud Protect (AIFF). Cream = editable input · grey = formula.</t>
        </is>
      </c>
    </row>
    <row r="4">
      <c r="A4" s="55" t="inlineStr">
        <is>
          <t>Headline</t>
        </is>
      </c>
      <c r="B4" s="56" t="n"/>
      <c r="C4" s="56" t="n"/>
      <c r="D4" s="56" t="n"/>
      <c r="E4" s="56" t="n"/>
      <c r="F4" s="56" t="n"/>
    </row>
    <row r="5">
      <c r="A5" s="57" t="inlineStr">
        <is>
          <t>Metric</t>
        </is>
      </c>
      <c r="B5" s="57" t="inlineStr">
        <is>
          <t>Value</t>
        </is>
      </c>
      <c r="C5" s="57" t="inlineStr">
        <is>
          <t>Basis</t>
        </is>
      </c>
    </row>
    <row r="6" ht="26.1" customHeight="1" s="79">
      <c r="A6" s="58" t="inlineStr">
        <is>
          <t>Development time</t>
        </is>
      </c>
      <c r="B6" s="62" t="inlineStr">
        <is>
          <t>~18 months</t>
        </is>
      </c>
      <c r="C6" s="96" t="inlineStr">
        <is>
          <t>~12 mo integration + ~6 mo PoC on an existing BF-3</t>
        </is>
      </c>
    </row>
    <row r="7" ht="26.1" customHeight="1" s="79">
      <c r="A7" s="58" t="inlineStr">
        <is>
          <t>Development cost (NRE)</t>
        </is>
      </c>
      <c r="B7" s="62" t="inlineStr">
        <is>
          <t>~$7M</t>
        </is>
      </c>
      <c r="C7" s="96" t="inlineStr">
        <is>
          <t>Bottom-up: team + dev kits + tooling + cert + contingency</t>
        </is>
      </c>
    </row>
    <row r="8" ht="26.1" customHeight="1" s="79">
      <c r="A8" s="58" t="inlineStr">
        <is>
          <t>Throughput (TP+TLS/RU)</t>
        </is>
      </c>
      <c r="B8" s="62" t="inlineStr">
        <is>
          <t>10 → ~40 (×4)</t>
        </is>
      </c>
      <c r="C8" s="96" t="inlineStr">
        <is>
          <t>Offloads TLS crypto + IPS; PoC gate is a conservative 25G+ (×2.5)</t>
        </is>
      </c>
    </row>
    <row r="9" ht="26.1" customHeight="1" s="79">
      <c r="A9" s="58" t="inlineStr">
        <is>
          <t>Verdict</t>
        </is>
      </c>
      <c r="B9" s="62" t="inlineStr">
        <is>
          <t>CHOSEN</t>
        </is>
      </c>
      <c r="C9" s="96" t="inlineStr">
        <is>
          <t>Best TP/RU, software-updatable, vendor + platform already proven</t>
        </is>
      </c>
    </row>
    <row r="11">
      <c r="A11" s="55" t="inlineStr">
        <is>
          <t>How the development TIME was derived</t>
        </is>
      </c>
      <c r="B11" s="56" t="n"/>
      <c r="C11" s="56" t="n"/>
      <c r="D11" s="56" t="n"/>
      <c r="E11" s="56" t="n"/>
      <c r="F11" s="56" t="n"/>
    </row>
    <row r="12">
      <c r="A12" s="57" t="inlineStr">
        <is>
          <t>Phase</t>
        </is>
      </c>
      <c r="B12" s="57" t="inlineStr">
        <is>
          <t>Duration</t>
        </is>
      </c>
      <c r="C12" s="57" t="inlineStr">
        <is>
          <t>Why this long</t>
        </is>
      </c>
    </row>
    <row r="13">
      <c r="A13" s="61" t="inlineStr">
        <is>
          <t>Integration</t>
        </is>
      </c>
      <c r="B13" s="58" t="inlineStr">
        <is>
          <t>12 months</t>
        </is>
      </c>
      <c r="C13" s="95" t="inlineStr">
        <is>
          <t>Card in the I/O slot, drivers, TLS+IPS offload pipeline in Gaia</t>
        </is>
      </c>
    </row>
    <row r="14">
      <c r="A14" s="61" t="inlineStr">
        <is>
          <t>PoC</t>
        </is>
      </c>
      <c r="B14" s="58" t="inlineStr">
        <is>
          <t>6 months</t>
        </is>
      </c>
      <c r="C14" s="95" t="inlineStr">
        <is>
          <t>Validate 25G+ gate, power / thermal / mechanical fit in the card format</t>
        </is>
      </c>
    </row>
    <row r="15">
      <c r="A15" s="58" t="inlineStr">
        <is>
          <t>Calendar total</t>
        </is>
      </c>
      <c r="B15" s="58" t="inlineStr">
        <is>
          <t>18 months</t>
        </is>
      </c>
      <c r="C15" s="95" t="inlineStr">
        <is>
          <t>Not from scratch — the 9000 already runs acceleration cards; BF-3 is in AIFF</t>
        </is>
      </c>
    </row>
    <row r="17">
      <c r="A17" s="55" t="inlineStr">
        <is>
          <t>How the development COST (NRE) was derived</t>
        </is>
      </c>
      <c r="B17" s="56" t="n"/>
      <c r="C17" s="56" t="n"/>
      <c r="D17" s="56" t="n"/>
      <c r="E17" s="56" t="n"/>
      <c r="F17" s="56" t="n"/>
    </row>
    <row r="18">
      <c r="A18" s="57" t="inlineStr">
        <is>
          <t>Component</t>
        </is>
      </c>
      <c r="B18" s="57" t="inlineStr">
        <is>
          <t>Amount</t>
        </is>
      </c>
      <c r="C18" s="57" t="inlineStr">
        <is>
          <t>Note / assumption</t>
        </is>
      </c>
    </row>
    <row r="19">
      <c r="A19" s="61" t="inlineStr">
        <is>
          <t>Engineers</t>
        </is>
      </c>
      <c r="B19" s="70" t="n">
        <v>12</v>
      </c>
      <c r="C19" s="95" t="inlineStr">
        <is>
          <t>Core R&amp;D team for integration + PoC</t>
        </is>
      </c>
    </row>
    <row r="20">
      <c r="A20" s="61" t="inlineStr">
        <is>
          <t>Duration (months)</t>
        </is>
      </c>
      <c r="B20" s="70" t="n">
        <v>18</v>
      </c>
      <c r="C20" s="95" t="inlineStr">
        <is>
          <t>Integration + PoC window</t>
        </is>
      </c>
    </row>
    <row r="21">
      <c r="A21" s="61" t="inlineStr">
        <is>
          <t>Loaded cost per engineer-month</t>
        </is>
      </c>
      <c r="B21" s="68" t="n">
        <v>20833</v>
      </c>
      <c r="C21" s="95" t="inlineStr">
        <is>
          <t>≈ $250K / engineer-year, fully loaded</t>
        </is>
      </c>
    </row>
    <row r="22">
      <c r="A22" s="61" t="inlineStr">
        <is>
          <t>R&amp;D team</t>
        </is>
      </c>
      <c r="B22" s="69">
        <f>B19*B20*B21</f>
        <v/>
      </c>
      <c r="C22" s="95" t="n"/>
    </row>
    <row r="23">
      <c r="A23" s="61" t="inlineStr">
        <is>
          <t>BlueField-3 dev kits</t>
        </is>
      </c>
      <c r="B23" s="68" t="n">
        <v>800000</v>
      </c>
      <c r="C23" s="95" t="inlineStr">
        <is>
          <t>NVIDIA BF-3 development hardware</t>
        </is>
      </c>
    </row>
    <row r="24">
      <c r="A24" s="61" t="inlineStr">
        <is>
          <t>Lab + test tooling</t>
        </is>
      </c>
      <c r="B24" s="68" t="n">
        <v>600000</v>
      </c>
      <c r="C24" s="95" t="inlineStr">
        <is>
          <t>Traffic generators, test rigs, bench</t>
        </is>
      </c>
    </row>
    <row r="25">
      <c r="A25" s="61" t="inlineStr">
        <is>
          <t>FIPS / certification pre-work</t>
        </is>
      </c>
      <c r="B25" s="68" t="n">
        <v>600000</v>
      </c>
      <c r="C25" s="95" t="inlineStr">
        <is>
          <t>Early cert groundwork during the PoC</t>
        </is>
      </c>
    </row>
    <row r="26">
      <c r="A26" s="61" t="inlineStr">
        <is>
          <t>Contingency</t>
        </is>
      </c>
      <c r="B26" s="68" t="n">
        <v>500000</v>
      </c>
      <c r="C26" s="95" t="inlineStr">
        <is>
          <t>Risk buffer for the PoC phase</t>
        </is>
      </c>
    </row>
    <row r="27">
      <c r="A27" s="58" t="inlineStr">
        <is>
          <t>Total NRE</t>
        </is>
      </c>
      <c r="B27" s="69">
        <f>B22+B23+B24+B25+B26</f>
        <v/>
      </c>
      <c r="C27" s="95" t="inlineStr">
        <is>
          <t>Sums to ~$7.0M. The full program on '2 · Investment' is $7.2M (adds HW/FIPS + GTM beyond this R&amp;D+PoC core)</t>
        </is>
      </c>
    </row>
  </sheetData>
  <mergeCells count="17">
    <mergeCell ref="C13:F13"/>
    <mergeCell ref="A2:F2"/>
    <mergeCell ref="C9:F9"/>
    <mergeCell ref="C22:F22"/>
    <mergeCell ref="C23:F23"/>
    <mergeCell ref="C8:F8"/>
    <mergeCell ref="C26:F26"/>
    <mergeCell ref="C20:F20"/>
    <mergeCell ref="C6:F6"/>
    <mergeCell ref="C7:F7"/>
    <mergeCell ref="C21:F21"/>
    <mergeCell ref="C15:F15"/>
    <mergeCell ref="C25:F25"/>
    <mergeCell ref="C27:F27"/>
    <mergeCell ref="C19:F19"/>
    <mergeCell ref="C24:F24"/>
    <mergeCell ref="C14:F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6" customWidth="1" style="79" min="1" max="1"/>
    <col width="10" customWidth="1" style="79" min="2" max="2"/>
    <col width="14" customWidth="1" style="79" min="3" max="3"/>
    <col width="14" customWidth="1" style="79" min="4" max="4"/>
    <col width="50" customWidth="1" style="79" min="5" max="5"/>
  </cols>
  <sheetData>
    <row r="1">
      <c r="A1" s="109" t="inlineStr">
        <is>
          <t>PoC — detailed plan (investment structure + effort timeline)</t>
        </is>
      </c>
    </row>
    <row r="2" ht="30" customHeight="1" s="79">
      <c r="A2" s="110" t="inlineStr">
        <is>
          <t>The $2.9M / ~6-month Proof-of-Concept that must clear ONE gate (25 Gbps+ under TLS) before the $4.3M GA spend is released.  Cream = editable input · grey = formula (recalculates).</t>
        </is>
      </c>
    </row>
    <row r="4">
      <c r="A4" s="97" t="inlineStr">
        <is>
          <t>Headline</t>
        </is>
      </c>
      <c r="B4" s="98" t="n"/>
      <c r="C4" s="98" t="n"/>
      <c r="D4" s="98" t="n"/>
      <c r="E4" s="98" t="n"/>
    </row>
    <row r="5">
      <c r="A5" s="107" t="inlineStr">
        <is>
          <t>Metric</t>
        </is>
      </c>
      <c r="B5" s="107" t="inlineStr">
        <is>
          <t>Value</t>
        </is>
      </c>
      <c r="C5" s="107" t="inlineStr">
        <is>
          <t>Basis</t>
        </is>
      </c>
    </row>
    <row r="6">
      <c r="A6" s="104" t="inlineStr">
        <is>
          <t>Success gate</t>
        </is>
      </c>
      <c r="B6" s="111" t="inlineStr">
        <is>
          <t>25 Gbps+ under TLS (×2.5)</t>
        </is>
      </c>
      <c r="C6" s="112" t="inlineStr">
        <is>
          <t>Primary exit criterion vs 10G under TP+TLS today</t>
        </is>
      </c>
    </row>
    <row r="7">
      <c r="A7" s="104" t="inlineStr">
        <is>
          <t>Duration</t>
        </is>
      </c>
      <c r="B7" s="111" t="inlineStr">
        <is>
          <t>~6 months</t>
        </is>
      </c>
      <c r="C7" s="112" t="inlineStr">
        <is>
          <t>Effort estimate, not a schedule commitment</t>
        </is>
      </c>
    </row>
    <row r="8">
      <c r="A8" s="104" t="inlineStr">
        <is>
          <t>PoC cost</t>
        </is>
      </c>
      <c r="B8" s="113">
        <f>D30</f>
        <v/>
      </c>
      <c r="C8" s="112" t="inlineStr">
        <is>
          <t>Bottom-up total of the investment structure below</t>
        </is>
      </c>
    </row>
    <row r="9">
      <c r="A9" s="104" t="inlineStr">
        <is>
          <t>Team</t>
        </is>
      </c>
      <c r="B9" s="111" t="inlineStr">
        <is>
          <t>10 engineers</t>
        </is>
      </c>
      <c r="C9" s="112" t="inlineStr">
        <is>
          <t>Focused subset on the offload boundary</t>
        </is>
      </c>
    </row>
    <row r="10">
      <c r="A10" s="104" t="inlineStr">
        <is>
          <t>Held back to GA</t>
        </is>
      </c>
      <c r="B10" s="111" t="inlineStr">
        <is>
          <t>$4.3M</t>
        </is>
      </c>
      <c r="C10" s="112" t="inlineStr">
        <is>
          <t>Released only if the gate is met — otherwise we stop</t>
        </is>
      </c>
    </row>
    <row r="12">
      <c r="A12" s="97" t="inlineStr">
        <is>
          <t>Investment structure · PoC — bottom-up to $2.9M</t>
        </is>
      </c>
      <c r="B12" s="98" t="n"/>
      <c r="C12" s="98" t="n"/>
      <c r="D12" s="98" t="n"/>
      <c r="E12" s="98" t="n"/>
    </row>
    <row r="13">
      <c r="A13" s="104" t="inlineStr">
        <is>
          <t>R&amp;D build-up</t>
        </is>
      </c>
    </row>
    <row r="14">
      <c r="A14" s="101" t="inlineStr">
        <is>
          <t>Engineers (PoC)</t>
        </is>
      </c>
      <c r="B14" s="108" t="n">
        <v>10</v>
      </c>
      <c r="E14" s="106" t="inlineStr">
        <is>
          <t>Focused subset — core offload + driver + perf</t>
        </is>
      </c>
    </row>
    <row r="15">
      <c r="A15" s="101" t="inlineStr">
        <is>
          <t>Duration</t>
        </is>
      </c>
      <c r="B15" s="108" t="n">
        <v>6</v>
      </c>
      <c r="C15" s="106" t="inlineStr">
        <is>
          <t>months</t>
        </is>
      </c>
      <c r="E15" s="106" t="inlineStr">
        <is>
          <t>To the 25 Gbps+ gate</t>
        </is>
      </c>
    </row>
    <row r="16">
      <c r="A16" s="101" t="inlineStr">
        <is>
          <t>Loaded cost / engineer-month</t>
        </is>
      </c>
      <c r="B16" s="103" t="n">
        <v>20833</v>
      </c>
      <c r="E16" s="106">
        <f> default loaded $250K/yr ÷ 12 (see Investment sheet)</f>
        <v/>
      </c>
    </row>
    <row r="17">
      <c r="A17" s="104" t="inlineStr">
        <is>
          <t>R&amp;D subtotal  =  engineers × months × rate</t>
        </is>
      </c>
      <c r="D17" s="102">
        <f>B14*B15*B16</f>
        <v/>
      </c>
      <c r="E17" s="106" t="inlineStr">
        <is>
          <t>≈ $1.25M</t>
        </is>
      </c>
    </row>
    <row r="19">
      <c r="A19" s="100" t="inlineStr">
        <is>
          <t>Line item (dev kits / HW / GTM)</t>
        </is>
      </c>
      <c r="B19" s="100" t="inlineStr">
        <is>
          <t>Qty</t>
        </is>
      </c>
      <c r="C19" s="100" t="inlineStr">
        <is>
          <t>Unit cost</t>
        </is>
      </c>
      <c r="D19" s="100" t="inlineStr">
        <is>
          <t>Amount</t>
        </is>
      </c>
      <c r="E19" s="100" t="inlineStr">
        <is>
          <t>Note</t>
        </is>
      </c>
    </row>
    <row r="20">
      <c r="A20" s="101" t="inlineStr">
        <is>
          <t>BF-3 dev boards</t>
        </is>
      </c>
      <c r="B20" s="108" t="n">
        <v>6</v>
      </c>
      <c r="C20" s="103" t="n">
        <v>15000</v>
      </c>
      <c r="D20" s="102">
        <f>B20*C20</f>
        <v/>
      </c>
      <c r="E20" s="99" t="inlineStr">
        <is>
          <t>Dev/test units for the PoC team</t>
        </is>
      </c>
    </row>
    <row r="21">
      <c r="A21" s="101" t="inlineStr">
        <is>
          <t>DOCA SDK / support</t>
        </is>
      </c>
      <c r="B21" s="108" t="n">
        <v>1</v>
      </c>
      <c r="C21" s="103" t="n">
        <v>120000</v>
      </c>
      <c r="D21" s="102">
        <f>B21*C21</f>
        <v/>
      </c>
      <c r="E21" s="99" t="inlineStr">
        <is>
          <t>SDK, licenses and developer support</t>
        </is>
      </c>
    </row>
    <row r="22">
      <c r="A22" s="101" t="inlineStr">
        <is>
          <t>NVIDIA NRE (PoC portion)</t>
        </is>
      </c>
      <c r="B22" s="108" t="n">
        <v>1</v>
      </c>
      <c r="C22" s="103" t="n">
        <v>330000</v>
      </c>
      <c r="D22" s="102">
        <f>B22*C22</f>
        <v/>
      </c>
      <c r="E22" s="99" t="inlineStr">
        <is>
          <t>Non-recurring integration engineering</t>
        </is>
      </c>
    </row>
    <row r="23">
      <c r="A23" s="101" t="inlineStr">
        <is>
          <t>Lab / TLS test harness</t>
        </is>
      </c>
      <c r="B23" s="108" t="n">
        <v>1</v>
      </c>
      <c r="C23" s="103" t="n">
        <v>110000</v>
      </c>
      <c r="D23" s="102">
        <f>B23*C23</f>
        <v/>
      </c>
      <c r="E23" s="99" t="inlineStr">
        <is>
          <t>Traffic generators + TLS test rig</t>
        </is>
      </c>
    </row>
    <row r="24">
      <c r="A24" s="101" t="inlineStr">
        <is>
          <t>Early thermal / airflow simulation</t>
        </is>
      </c>
      <c r="B24" s="108" t="n">
        <v>1</v>
      </c>
      <c r="C24" s="103" t="n">
        <v>300000</v>
      </c>
      <c r="D24" s="102">
        <f>B24*C24</f>
        <v/>
      </c>
      <c r="E24" s="99" t="inlineStr">
        <is>
          <t>1RU airflow for ~75W added</t>
        </is>
      </c>
    </row>
    <row r="25">
      <c r="A25" s="101" t="inlineStr">
        <is>
          <t>PSU / signal-integrity pre-check</t>
        </is>
      </c>
      <c r="B25" s="108" t="n">
        <v>1</v>
      </c>
      <c r="C25" s="103" t="n">
        <v>150000</v>
      </c>
      <c r="D25" s="102">
        <f>B25*C25</f>
        <v/>
      </c>
      <c r="E25" s="99" t="inlineStr">
        <is>
          <t>Electrical headroom validation</t>
        </is>
      </c>
    </row>
    <row r="26">
      <c r="A26" s="101" t="inlineStr">
        <is>
          <t>FIPS 140-3 scoping</t>
        </is>
      </c>
      <c r="B26" s="108" t="n">
        <v>1</v>
      </c>
      <c r="C26" s="103" t="n">
        <v>150000</v>
      </c>
      <c r="D26" s="102">
        <f>B26*C26</f>
        <v/>
      </c>
      <c r="E26" s="99" t="inlineStr">
        <is>
          <t>Early cert groundwork (BF-3 module already approved)</t>
        </is>
      </c>
    </row>
    <row r="27">
      <c r="A27" s="101" t="inlineStr">
        <is>
          <t>Design-partner program prep</t>
        </is>
      </c>
      <c r="B27" s="108" t="n">
        <v>1</v>
      </c>
      <c r="C27" s="103" t="n">
        <v>250000</v>
      </c>
      <c r="D27" s="102">
        <f>B27*C27</f>
        <v/>
      </c>
      <c r="E27" s="99" t="inlineStr">
        <is>
          <t>Line up beta partners before GA</t>
        </is>
      </c>
    </row>
    <row r="28">
      <c r="A28" s="101" t="inlineStr">
        <is>
          <t>PoC engineering support</t>
        </is>
      </c>
      <c r="B28" s="108" t="n">
        <v>1</v>
      </c>
      <c r="C28" s="103" t="n">
        <v>150000</v>
      </c>
      <c r="D28" s="102">
        <f>B28*C28</f>
        <v/>
      </c>
      <c r="E28" s="99" t="inlineStr">
        <is>
          <t>Field / SE support during the PoC</t>
        </is>
      </c>
    </row>
    <row r="29">
      <c r="A29" s="104" t="inlineStr">
        <is>
          <t>Non-R&amp;D subtotal</t>
        </is>
      </c>
      <c r="D29" s="102">
        <f>SUM(D20:D28)</f>
        <v/>
      </c>
      <c r="E29" s="106" t="inlineStr">
        <is>
          <t>dev kits/NRE $0.65M + HW/thermal/FIPS $0.6M + GTM $0.4M</t>
        </is>
      </c>
    </row>
    <row r="30">
      <c r="A30" s="104" t="inlineStr">
        <is>
          <t>TOTAL PoC  =  R&amp;D + non-R&amp;D</t>
        </is>
      </c>
      <c r="D30" s="113">
        <f>D17+D29</f>
        <v/>
      </c>
      <c r="E30" s="106" t="inlineStr">
        <is>
          <t>≈ $2.9M  (phase-slice of the $7.2M full program)</t>
        </is>
      </c>
    </row>
    <row r="32">
      <c r="A32" s="97" t="inlineStr">
        <is>
          <t>Effort timeline · PoC — phases sum to ~6 months</t>
        </is>
      </c>
      <c r="B32" s="98" t="n"/>
      <c r="C32" s="98" t="n"/>
      <c r="D32" s="98" t="n"/>
      <c r="E32" s="98" t="n"/>
    </row>
    <row r="33">
      <c r="A33" s="107" t="inlineStr">
        <is>
          <t>Phase</t>
        </is>
      </c>
      <c r="B33" s="107" t="inlineStr">
        <is>
          <t>Months</t>
        </is>
      </c>
      <c r="C33" s="107" t="inlineStr"/>
      <c r="D33" s="107" t="inlineStr">
        <is>
          <t>What happens / output</t>
        </is>
      </c>
      <c r="E33" s="107" t="inlineStr"/>
    </row>
    <row r="34">
      <c r="A34" s="101" t="inlineStr">
        <is>
          <t>Dev-kit &amp; lab bring-up</t>
        </is>
      </c>
      <c r="B34" s="108" t="n">
        <v>1</v>
      </c>
      <c r="D34" s="99" t="inlineStr">
        <is>
          <t>Set up BF-3 boards, lab and baseline — environment ready</t>
        </is>
      </c>
    </row>
    <row r="35">
      <c r="A35" s="101" t="inlineStr">
        <is>
          <t>Offload integration (core)</t>
        </is>
      </c>
      <c r="B35" s="108" t="n">
        <v>2</v>
      </c>
      <c r="D35" s="99" t="inlineStr">
        <is>
          <t>DOCA/Gaia driver + CoreXL offload path — TLS path running on the card</t>
        </is>
      </c>
    </row>
    <row r="36">
      <c r="A36" s="101" t="inlineStr">
        <is>
          <t>TLS gate measurement (25G+)</t>
        </is>
      </c>
      <c r="B36" s="108" t="n">
        <v>2</v>
      </c>
      <c r="D36" s="99" t="inlineStr">
        <is>
          <t>Measure TP under TLS and tune — the make-or-break gate</t>
        </is>
      </c>
    </row>
    <row r="37">
      <c r="A37" s="101" t="inlineStr">
        <is>
          <t>Thermal + FIPS scoping</t>
        </is>
      </c>
      <c r="B37" s="108" t="n">
        <v>1</v>
      </c>
      <c r="D37" s="99" t="inlineStr">
        <is>
          <t>1RU thermal sim + FIPS path — headroom &amp; cert path confirmed</t>
        </is>
      </c>
    </row>
    <row r="38">
      <c r="A38" s="104" t="inlineStr">
        <is>
          <t>Total</t>
        </is>
      </c>
      <c r="B38" s="114">
        <f>SUM(B34:B37)</f>
        <v/>
      </c>
      <c r="D38" s="106" t="inlineStr">
        <is>
          <t>≈ 6 months to the gate</t>
        </is>
      </c>
    </row>
    <row r="40">
      <c r="A40" s="97" t="inlineStr">
        <is>
          <t>Success gate &amp; exit criteria</t>
        </is>
      </c>
      <c r="B40" s="98" t="n"/>
      <c r="C40" s="98" t="n"/>
      <c r="D40" s="98" t="n"/>
      <c r="E40" s="98" t="n"/>
    </row>
    <row r="41">
      <c r="A41" s="104" t="inlineStr">
        <is>
          <t>Primary gate</t>
        </is>
      </c>
      <c r="B41" s="112" t="inlineStr">
        <is>
          <t>≥ 25 Gbps TP under TLS (×2.5 vs 10G today) — the go/no-go number</t>
        </is>
      </c>
    </row>
    <row r="42">
      <c r="A42" s="104" t="inlineStr">
        <is>
          <t>Secondary</t>
        </is>
      </c>
      <c r="B42" s="112" t="inlineStr">
        <is>
          <t>~85% of IPS signatures compile on the RXP engine</t>
        </is>
      </c>
    </row>
    <row r="43">
      <c r="A43" s="104" t="inlineStr">
        <is>
          <t>Thermal / power</t>
        </is>
      </c>
      <c r="B43" s="112" t="inlineStr">
        <is>
          <t>~75W added fits within 1RU PSU &amp; airflow headroom</t>
        </is>
      </c>
    </row>
    <row r="44">
      <c r="A44" s="104" t="inlineStr">
        <is>
          <t>Certification</t>
        </is>
      </c>
      <c r="B44" s="112" t="inlineStr">
        <is>
          <t>FIPS 140-3 path confirmed — BF-3 crypto module already approved</t>
        </is>
      </c>
    </row>
    <row r="45">
      <c r="A45" s="104" t="inlineStr">
        <is>
          <t>Exit rule</t>
        </is>
      </c>
      <c r="B45" s="112" t="inlineStr">
        <is>
          <t>If the primary gate is missed → stop before the $4.3M GA spend</t>
        </is>
      </c>
    </row>
  </sheetData>
  <mergeCells count="15">
    <mergeCell ref="B45:E45"/>
    <mergeCell ref="B41:E41"/>
    <mergeCell ref="A2:E2"/>
    <mergeCell ref="B43:E43"/>
    <mergeCell ref="D35:E35"/>
    <mergeCell ref="D34:E34"/>
    <mergeCell ref="B44:E44"/>
    <mergeCell ref="C8:E8"/>
    <mergeCell ref="C9:E9"/>
    <mergeCell ref="D37:E37"/>
    <mergeCell ref="C7:E7"/>
    <mergeCell ref="D36:E36"/>
    <mergeCell ref="B42:E42"/>
    <mergeCell ref="C6:E6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2026-10-06T14:42:10Z</dcterms:created>
  <dcterms:modified xsi:type="dcterms:W3CDTF">2026-10-24T13:04:26Z</dcterms:modified>
  <cp:lastModifiedBy>Barak Rozenfeld</cp:lastModifiedBy>
</cp:coreProperties>
</file>